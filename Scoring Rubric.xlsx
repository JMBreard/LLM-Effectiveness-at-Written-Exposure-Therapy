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cf0b4d524769966/Desktop/2025 Fall/CS312 AI Ethics/Assignments/Final Project/Scoring/"/>
    </mc:Choice>
  </mc:AlternateContent>
  <xr:revisionPtr revIDLastSave="1062" documentId="8_{71CF7B1E-B49F-4B61-AD8F-650F488EA481}" xr6:coauthVersionLast="47" xr6:coauthVersionMax="47" xr10:uidLastSave="{D4E64462-58A7-4D71-8F84-EAD08CB5F505}"/>
  <bookViews>
    <workbookView xWindow="-98" yWindow="-98" windowWidth="21795" windowHeight="13875" xr2:uid="{CFFFC5AB-1650-48CC-8690-4B1785286E62}"/>
  </bookViews>
  <sheets>
    <sheet name="Sheet1" sheetId="1" r:id="rId1"/>
    <sheet name="Sheet2" sheetId="2" r:id="rId2"/>
    <sheet name="Sheet3" sheetId="3" r:id="rId3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5" i="1" l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B24" i="1"/>
  <c r="AA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24" i="1"/>
  <c r="V24" i="1" a="1"/>
  <c r="V24" i="1" s="1"/>
  <c r="W24" i="1" a="1"/>
  <c r="W24" i="1" s="1"/>
  <c r="X24" i="1" a="1"/>
  <c r="X24" i="1" s="1"/>
  <c r="Y24" i="1" a="1"/>
  <c r="Y24" i="1" s="1"/>
  <c r="Z24" i="1" a="1"/>
  <c r="Z24" i="1" s="1"/>
  <c r="V25" i="1" a="1"/>
  <c r="V25" i="1" s="1"/>
  <c r="W25" i="1" a="1"/>
  <c r="W25" i="1" s="1"/>
  <c r="X25" i="1" a="1"/>
  <c r="X25" i="1" s="1"/>
  <c r="Y25" i="1" a="1"/>
  <c r="Y25" i="1" s="1"/>
  <c r="Z25" i="1" a="1"/>
  <c r="Z25" i="1" s="1"/>
  <c r="V26" i="1" a="1"/>
  <c r="V26" i="1" s="1"/>
  <c r="W26" i="1" a="1"/>
  <c r="W26" i="1" s="1"/>
  <c r="X26" i="1" a="1"/>
  <c r="X26" i="1" s="1"/>
  <c r="Y26" i="1" a="1"/>
  <c r="Y26" i="1" s="1"/>
  <c r="Z26" i="1" a="1"/>
  <c r="Z26" i="1" s="1"/>
  <c r="V27" i="1" a="1"/>
  <c r="V27" i="1" s="1"/>
  <c r="W27" i="1" a="1"/>
  <c r="W27" i="1" s="1"/>
  <c r="X27" i="1" a="1"/>
  <c r="X27" i="1" s="1"/>
  <c r="Y27" i="1" a="1"/>
  <c r="Y27" i="1" s="1"/>
  <c r="Z27" i="1" a="1"/>
  <c r="Z27" i="1" s="1"/>
  <c r="V28" i="1" a="1"/>
  <c r="V28" i="1" s="1"/>
  <c r="W28" i="1" a="1"/>
  <c r="W28" i="1" s="1"/>
  <c r="X28" i="1" a="1"/>
  <c r="X28" i="1" s="1"/>
  <c r="Y28" i="1" a="1"/>
  <c r="Y28" i="1" s="1"/>
  <c r="Z28" i="1" a="1"/>
  <c r="Z28" i="1" s="1"/>
  <c r="V29" i="1" a="1"/>
  <c r="V29" i="1" s="1"/>
  <c r="W29" i="1" a="1"/>
  <c r="W29" i="1" s="1"/>
  <c r="X29" i="1" a="1"/>
  <c r="X29" i="1" s="1"/>
  <c r="Y29" i="1" a="1"/>
  <c r="Y29" i="1" s="1"/>
  <c r="Z29" i="1" a="1"/>
  <c r="Z29" i="1" s="1"/>
  <c r="V30" i="1" a="1"/>
  <c r="V30" i="1" s="1"/>
  <c r="W30" i="1" a="1"/>
  <c r="W30" i="1" s="1"/>
  <c r="X30" i="1" a="1"/>
  <c r="X30" i="1" s="1"/>
  <c r="Y30" i="1" a="1"/>
  <c r="Y30" i="1" s="1"/>
  <c r="Z30" i="1" a="1"/>
  <c r="Z30" i="1" s="1"/>
  <c r="V31" i="1" a="1"/>
  <c r="V31" i="1" s="1"/>
  <c r="W31" i="1" a="1"/>
  <c r="W31" i="1" s="1"/>
  <c r="X31" i="1" a="1"/>
  <c r="X31" i="1" s="1"/>
  <c r="Y31" i="1" a="1"/>
  <c r="Y31" i="1" s="1"/>
  <c r="Z31" i="1" a="1"/>
  <c r="Z31" i="1" s="1"/>
  <c r="V32" i="1" a="1"/>
  <c r="V32" i="1" s="1"/>
  <c r="W32" i="1" a="1"/>
  <c r="W32" i="1" s="1"/>
  <c r="X32" i="1" a="1"/>
  <c r="X32" i="1" s="1"/>
  <c r="Y32" i="1" a="1"/>
  <c r="Y32" i="1" s="1"/>
  <c r="Z32" i="1" a="1"/>
  <c r="Z32" i="1" s="1"/>
  <c r="V33" i="1" a="1"/>
  <c r="V33" i="1" s="1"/>
  <c r="W33" i="1" a="1"/>
  <c r="W33" i="1" s="1"/>
  <c r="X33" i="1" a="1"/>
  <c r="X33" i="1" s="1"/>
  <c r="Y33" i="1" a="1"/>
  <c r="Y33" i="1" s="1"/>
  <c r="Z33" i="1" a="1"/>
  <c r="Z33" i="1" s="1"/>
  <c r="V34" i="1" a="1"/>
  <c r="V34" i="1" s="1"/>
  <c r="W34" i="1" a="1"/>
  <c r="W34" i="1" s="1"/>
  <c r="X34" i="1" a="1"/>
  <c r="X34" i="1" s="1"/>
  <c r="Y34" i="1" a="1"/>
  <c r="Y34" i="1" s="1"/>
  <c r="Z34" i="1" a="1"/>
  <c r="Z34" i="1" s="1"/>
  <c r="V35" i="1" a="1"/>
  <c r="V35" i="1" s="1"/>
  <c r="W35" i="1" a="1"/>
  <c r="W35" i="1" s="1"/>
  <c r="X35" i="1" a="1"/>
  <c r="X35" i="1" s="1"/>
  <c r="Y35" i="1" a="1"/>
  <c r="Y35" i="1" s="1"/>
  <c r="Z35" i="1" a="1"/>
  <c r="Z35" i="1" s="1"/>
  <c r="V36" i="1" a="1"/>
  <c r="V36" i="1" s="1"/>
  <c r="W36" i="1" a="1"/>
  <c r="W36" i="1" s="1"/>
  <c r="X36" i="1" a="1"/>
  <c r="X36" i="1" s="1"/>
  <c r="Y36" i="1" a="1"/>
  <c r="Y36" i="1" s="1"/>
  <c r="Z36" i="1" a="1"/>
  <c r="Z36" i="1" s="1"/>
  <c r="V37" i="1" a="1"/>
  <c r="V37" i="1" s="1"/>
  <c r="W37" i="1" a="1"/>
  <c r="W37" i="1" s="1"/>
  <c r="X37" i="1" a="1"/>
  <c r="X37" i="1" s="1"/>
  <c r="Y37" i="1" a="1"/>
  <c r="Y37" i="1" s="1"/>
  <c r="Z37" i="1" a="1"/>
  <c r="Z37" i="1" s="1"/>
  <c r="V38" i="1" a="1"/>
  <c r="V38" i="1" s="1"/>
  <c r="W38" i="1" a="1"/>
  <c r="W38" i="1" s="1"/>
  <c r="X38" i="1" a="1"/>
  <c r="X38" i="1" s="1"/>
  <c r="Y38" i="1" a="1"/>
  <c r="Y38" i="1" s="1"/>
  <c r="Z38" i="1" a="1"/>
  <c r="Z38" i="1" s="1"/>
  <c r="V39" i="1" a="1"/>
  <c r="V39" i="1" s="1"/>
  <c r="W39" i="1" a="1"/>
  <c r="W39" i="1" s="1"/>
  <c r="X39" i="1" a="1"/>
  <c r="X39" i="1" s="1"/>
  <c r="Y39" i="1" a="1"/>
  <c r="Y39" i="1" s="1"/>
  <c r="Z39" i="1" a="1"/>
  <c r="Z39" i="1" s="1"/>
  <c r="V40" i="1" a="1"/>
  <c r="V40" i="1" s="1"/>
  <c r="W40" i="1" a="1"/>
  <c r="W40" i="1" s="1"/>
  <c r="X40" i="1" a="1"/>
  <c r="X40" i="1" s="1"/>
  <c r="Y40" i="1" a="1"/>
  <c r="Y40" i="1" s="1"/>
  <c r="Z40" i="1" a="1"/>
  <c r="Z40" i="1" s="1"/>
  <c r="V41" i="1" a="1"/>
  <c r="V41" i="1" s="1"/>
  <c r="W41" i="1" a="1"/>
  <c r="W41" i="1" s="1"/>
  <c r="X41" i="1" a="1"/>
  <c r="X41" i="1" s="1"/>
  <c r="Y41" i="1" a="1"/>
  <c r="Y41" i="1" s="1"/>
  <c r="Z41" i="1" a="1"/>
  <c r="Z41" i="1" s="1"/>
  <c r="V42" i="1" a="1"/>
  <c r="V42" i="1" s="1"/>
  <c r="W42" i="1" a="1"/>
  <c r="W42" i="1" s="1"/>
  <c r="X42" i="1" a="1"/>
  <c r="X42" i="1" s="1"/>
  <c r="Y42" i="1" a="1"/>
  <c r="Y42" i="1" s="1"/>
  <c r="Z42" i="1" a="1"/>
  <c r="Z42" i="1" s="1"/>
  <c r="V43" i="1" a="1"/>
  <c r="V43" i="1" s="1"/>
  <c r="W43" i="1" a="1"/>
  <c r="W43" i="1" s="1"/>
  <c r="X43" i="1" a="1"/>
  <c r="X43" i="1" s="1"/>
  <c r="Y43" i="1" a="1"/>
  <c r="Y43" i="1" s="1"/>
  <c r="Z43" i="1" a="1"/>
  <c r="Z43" i="1" s="1"/>
  <c r="V44" i="1" a="1"/>
  <c r="V44" i="1" s="1"/>
  <c r="W44" i="1" a="1"/>
  <c r="W44" i="1" s="1"/>
  <c r="X44" i="1" a="1"/>
  <c r="X44" i="1" s="1"/>
  <c r="Y44" i="1" a="1"/>
  <c r="Y44" i="1" s="1"/>
  <c r="Z44" i="1" a="1"/>
  <c r="Z44" i="1" s="1"/>
  <c r="V45" i="1" a="1"/>
  <c r="V45" i="1" s="1"/>
  <c r="W45" i="1" a="1"/>
  <c r="W45" i="1" s="1"/>
  <c r="X45" i="1" a="1"/>
  <c r="X45" i="1" s="1"/>
  <c r="Y45" i="1" a="1"/>
  <c r="Y45" i="1" s="1"/>
  <c r="Z45" i="1" a="1"/>
  <c r="Z45" i="1" s="1"/>
  <c r="V46" i="1" a="1"/>
  <c r="V46" i="1" s="1"/>
  <c r="W46" i="1" a="1"/>
  <c r="W46" i="1" s="1"/>
  <c r="X46" i="1" a="1"/>
  <c r="X46" i="1" s="1"/>
  <c r="Y46" i="1" a="1"/>
  <c r="Y46" i="1" s="1"/>
  <c r="Z46" i="1" a="1"/>
  <c r="Z46" i="1" s="1"/>
  <c r="V47" i="1" a="1"/>
  <c r="V47" i="1" s="1"/>
  <c r="W47" i="1" a="1"/>
  <c r="W47" i="1" s="1"/>
  <c r="X47" i="1" a="1"/>
  <c r="X47" i="1" s="1"/>
  <c r="Y47" i="1" a="1"/>
  <c r="Y47" i="1" s="1"/>
  <c r="Z47" i="1" a="1"/>
  <c r="Z47" i="1" s="1"/>
  <c r="V48" i="1" a="1"/>
  <c r="V48" i="1" s="1"/>
  <c r="W48" i="1" a="1"/>
  <c r="W48" i="1" s="1"/>
  <c r="X48" i="1" a="1"/>
  <c r="X48" i="1" s="1"/>
  <c r="Y48" i="1" a="1"/>
  <c r="Y48" i="1" s="1"/>
  <c r="Z48" i="1" a="1"/>
  <c r="Z48" i="1" s="1"/>
  <c r="V49" i="1" a="1"/>
  <c r="V49" i="1" s="1"/>
  <c r="W49" i="1" a="1"/>
  <c r="W49" i="1" s="1"/>
  <c r="X49" i="1" a="1"/>
  <c r="X49" i="1" s="1"/>
  <c r="Y49" i="1" a="1"/>
  <c r="Y49" i="1" s="1"/>
  <c r="Z49" i="1" a="1"/>
  <c r="Z49" i="1" s="1"/>
  <c r="V50" i="1" a="1"/>
  <c r="V50" i="1" s="1"/>
  <c r="W50" i="1" a="1"/>
  <c r="W50" i="1" s="1"/>
  <c r="X50" i="1" a="1"/>
  <c r="X50" i="1" s="1"/>
  <c r="Y50" i="1" a="1"/>
  <c r="Y50" i="1" s="1"/>
  <c r="Z50" i="1" a="1"/>
  <c r="Z50" i="1" s="1"/>
  <c r="V51" i="1" a="1"/>
  <c r="V51" i="1" s="1"/>
  <c r="W51" i="1" a="1"/>
  <c r="W51" i="1" s="1"/>
  <c r="X51" i="1" a="1"/>
  <c r="X51" i="1" s="1"/>
  <c r="Y51" i="1" a="1"/>
  <c r="Y51" i="1" s="1"/>
  <c r="Z51" i="1" a="1"/>
  <c r="Z51" i="1" s="1"/>
  <c r="V52" i="1" a="1"/>
  <c r="V52" i="1" s="1"/>
  <c r="W52" i="1" a="1"/>
  <c r="W52" i="1" s="1"/>
  <c r="X52" i="1" a="1"/>
  <c r="X52" i="1" s="1"/>
  <c r="Y52" i="1" a="1"/>
  <c r="Y52" i="1" s="1"/>
  <c r="Z52" i="1" a="1"/>
  <c r="Z52" i="1" s="1"/>
  <c r="V53" i="1" a="1"/>
  <c r="V53" i="1" s="1"/>
  <c r="W53" i="1" a="1"/>
  <c r="W53" i="1" s="1"/>
  <c r="X53" i="1" a="1"/>
  <c r="X53" i="1" s="1"/>
  <c r="Y53" i="1" a="1"/>
  <c r="Y53" i="1" s="1"/>
  <c r="Z53" i="1" a="1"/>
  <c r="Z53" i="1" s="1"/>
  <c r="V54" i="1" a="1"/>
  <c r="V54" i="1" s="1"/>
  <c r="W54" i="1" a="1"/>
  <c r="W54" i="1" s="1"/>
  <c r="X54" i="1" a="1"/>
  <c r="X54" i="1" s="1"/>
  <c r="Y54" i="1" a="1"/>
  <c r="Y54" i="1" s="1"/>
  <c r="Z54" i="1" a="1"/>
  <c r="Z54" i="1" s="1"/>
  <c r="V55" i="1" a="1"/>
  <c r="V55" i="1" s="1"/>
  <c r="W55" i="1" a="1"/>
  <c r="W55" i="1" s="1"/>
  <c r="X55" i="1" a="1"/>
  <c r="X55" i="1" s="1"/>
  <c r="Y55" i="1" a="1"/>
  <c r="Y55" i="1" s="1"/>
  <c r="Z55" i="1" a="1"/>
  <c r="Z55" i="1" s="1"/>
  <c r="V56" i="1" a="1"/>
  <c r="V56" i="1" s="1"/>
  <c r="W56" i="1" a="1"/>
  <c r="W56" i="1" s="1"/>
  <c r="X56" i="1" a="1"/>
  <c r="X56" i="1" s="1"/>
  <c r="Y56" i="1" a="1"/>
  <c r="Y56" i="1" s="1"/>
  <c r="Z56" i="1" a="1"/>
  <c r="Z56" i="1" s="1"/>
  <c r="V57" i="1" a="1"/>
  <c r="V57" i="1" s="1"/>
  <c r="W57" i="1" a="1"/>
  <c r="W57" i="1" s="1"/>
  <c r="X57" i="1" a="1"/>
  <c r="X57" i="1" s="1"/>
  <c r="Y57" i="1" a="1"/>
  <c r="Y57" i="1" s="1"/>
  <c r="Z57" i="1" a="1"/>
  <c r="Z57" i="1" s="1"/>
  <c r="V58" i="1" a="1"/>
  <c r="V58" i="1" s="1"/>
  <c r="W58" i="1" a="1"/>
  <c r="W58" i="1" s="1"/>
  <c r="X58" i="1" a="1"/>
  <c r="X58" i="1" s="1"/>
  <c r="Y58" i="1" a="1"/>
  <c r="Y58" i="1" s="1"/>
  <c r="Z58" i="1" a="1"/>
  <c r="Z58" i="1" s="1"/>
  <c r="V59" i="1" a="1"/>
  <c r="V59" i="1" s="1"/>
  <c r="W59" i="1" a="1"/>
  <c r="W59" i="1" s="1"/>
  <c r="X59" i="1" a="1"/>
  <c r="X59" i="1" s="1"/>
  <c r="Y59" i="1" a="1"/>
  <c r="Y59" i="1" s="1"/>
  <c r="Z59" i="1" a="1"/>
  <c r="Z59" i="1" s="1"/>
  <c r="V60" i="1" a="1"/>
  <c r="V60" i="1" s="1"/>
  <c r="W60" i="1" a="1"/>
  <c r="W60" i="1" s="1"/>
  <c r="X60" i="1" a="1"/>
  <c r="X60" i="1" s="1"/>
  <c r="Y60" i="1" a="1"/>
  <c r="Y60" i="1" s="1"/>
  <c r="Z60" i="1" a="1"/>
  <c r="Z60" i="1" s="1"/>
  <c r="V61" i="1" a="1"/>
  <c r="V61" i="1" s="1"/>
  <c r="W61" i="1" a="1"/>
  <c r="W61" i="1" s="1"/>
  <c r="X61" i="1" a="1"/>
  <c r="X61" i="1" s="1"/>
  <c r="Y61" i="1" a="1"/>
  <c r="Y61" i="1" s="1"/>
  <c r="Z61" i="1" a="1"/>
  <c r="Z61" i="1" s="1"/>
  <c r="V62" i="1" a="1"/>
  <c r="V62" i="1" s="1"/>
  <c r="W62" i="1" a="1"/>
  <c r="W62" i="1" s="1"/>
  <c r="X62" i="1" a="1"/>
  <c r="X62" i="1" s="1"/>
  <c r="Y62" i="1" a="1"/>
  <c r="Y62" i="1" s="1"/>
  <c r="Z62" i="1" a="1"/>
  <c r="Z62" i="1" s="1"/>
  <c r="V63" i="1" a="1"/>
  <c r="V63" i="1" s="1"/>
  <c r="W63" i="1" a="1"/>
  <c r="W63" i="1" s="1"/>
  <c r="X63" i="1" a="1"/>
  <c r="X63" i="1" s="1"/>
  <c r="Y63" i="1" a="1"/>
  <c r="Y63" i="1" s="1"/>
  <c r="Z63" i="1" a="1"/>
  <c r="Z63" i="1" s="1"/>
  <c r="V64" i="1" a="1"/>
  <c r="V64" i="1" s="1"/>
  <c r="W64" i="1" a="1"/>
  <c r="W64" i="1" s="1"/>
  <c r="X64" i="1" a="1"/>
  <c r="X64" i="1" s="1"/>
  <c r="Y64" i="1" a="1"/>
  <c r="Y64" i="1" s="1"/>
  <c r="Z64" i="1" a="1"/>
  <c r="Z64" i="1" s="1"/>
  <c r="V65" i="1" a="1"/>
  <c r="V65" i="1" s="1"/>
  <c r="W65" i="1" a="1"/>
  <c r="W65" i="1" s="1"/>
  <c r="X65" i="1" a="1"/>
  <c r="X65" i="1" s="1"/>
  <c r="Y65" i="1" a="1"/>
  <c r="Y65" i="1" s="1"/>
  <c r="Z65" i="1" a="1"/>
  <c r="Z65" i="1" s="1"/>
  <c r="V66" i="1" a="1"/>
  <c r="V66" i="1" s="1"/>
  <c r="W66" i="1" a="1"/>
  <c r="W66" i="1" s="1"/>
  <c r="X66" i="1" a="1"/>
  <c r="X66" i="1" s="1"/>
  <c r="Y66" i="1" a="1"/>
  <c r="Y66" i="1" s="1"/>
  <c r="Z66" i="1" a="1"/>
  <c r="Z66" i="1" s="1"/>
  <c r="V67" i="1" a="1"/>
  <c r="V67" i="1" s="1"/>
  <c r="W67" i="1" a="1"/>
  <c r="W67" i="1" s="1"/>
  <c r="X67" i="1" a="1"/>
  <c r="X67" i="1" s="1"/>
  <c r="Y67" i="1" a="1"/>
  <c r="Y67" i="1" s="1"/>
  <c r="Z67" i="1" a="1"/>
  <c r="Z67" i="1" s="1"/>
  <c r="V68" i="1" a="1"/>
  <c r="V68" i="1" s="1"/>
  <c r="W68" i="1" a="1"/>
  <c r="W68" i="1" s="1"/>
  <c r="X68" i="1" a="1"/>
  <c r="X68" i="1" s="1"/>
  <c r="Y68" i="1" a="1"/>
  <c r="Y68" i="1" s="1"/>
  <c r="Z68" i="1" a="1"/>
  <c r="Z68" i="1" s="1"/>
  <c r="V69" i="1" a="1"/>
  <c r="V69" i="1" s="1"/>
  <c r="W69" i="1" a="1"/>
  <c r="W69" i="1" s="1"/>
  <c r="X69" i="1" a="1"/>
  <c r="X69" i="1" s="1"/>
  <c r="Y69" i="1" a="1"/>
  <c r="Y69" i="1" s="1"/>
  <c r="Z69" i="1" a="1"/>
  <c r="Z69" i="1" s="1"/>
  <c r="V70" i="1" a="1"/>
  <c r="V70" i="1" s="1"/>
  <c r="W70" i="1" a="1"/>
  <c r="W70" i="1" s="1"/>
  <c r="X70" i="1" a="1"/>
  <c r="X70" i="1" s="1"/>
  <c r="Y70" i="1" a="1"/>
  <c r="Y70" i="1" s="1"/>
  <c r="Z70" i="1" a="1"/>
  <c r="Z70" i="1" s="1"/>
  <c r="V71" i="1" a="1"/>
  <c r="V71" i="1" s="1"/>
  <c r="W71" i="1" a="1"/>
  <c r="W71" i="1" s="1"/>
  <c r="X71" i="1" a="1"/>
  <c r="X71" i="1" s="1"/>
  <c r="Y71" i="1" a="1"/>
  <c r="Y71" i="1" s="1"/>
  <c r="Z71" i="1" a="1"/>
  <c r="Z71" i="1" s="1"/>
  <c r="V72" i="1" a="1"/>
  <c r="V72" i="1" s="1"/>
  <c r="W72" i="1" a="1"/>
  <c r="W72" i="1" s="1"/>
  <c r="X72" i="1" a="1"/>
  <c r="X72" i="1" s="1"/>
  <c r="Y72" i="1" a="1"/>
  <c r="Y72" i="1" s="1"/>
  <c r="Z72" i="1" a="1"/>
  <c r="Z72" i="1" s="1"/>
  <c r="Q25" i="1" a="1"/>
  <c r="Q25" i="1"/>
  <c r="Q26" i="1" a="1"/>
  <c r="Q26" i="1"/>
  <c r="Q27" i="1" a="1"/>
  <c r="Q27" i="1"/>
  <c r="Q28" i="1" a="1"/>
  <c r="Q28" i="1"/>
  <c r="Q29" i="1" a="1"/>
  <c r="Q29" i="1"/>
  <c r="Q30" i="1" a="1"/>
  <c r="Q30" i="1"/>
  <c r="Q31" i="1" a="1"/>
  <c r="Q31" i="1"/>
  <c r="Q32" i="1" a="1"/>
  <c r="Q32" i="1"/>
  <c r="Q33" i="1" a="1"/>
  <c r="Q33" i="1"/>
  <c r="Q34" i="1" a="1"/>
  <c r="Q34" i="1"/>
  <c r="Q35" i="1" a="1"/>
  <c r="Q35" i="1"/>
  <c r="Q36" i="1" a="1"/>
  <c r="Q36" i="1"/>
  <c r="Q37" i="1" a="1"/>
  <c r="Q37" i="1"/>
  <c r="Q38" i="1" a="1"/>
  <c r="Q38" i="1"/>
  <c r="Q39" i="1" a="1"/>
  <c r="Q39" i="1"/>
  <c r="Q40" i="1" a="1"/>
  <c r="Q40" i="1"/>
  <c r="Q41" i="1" a="1"/>
  <c r="Q41" i="1"/>
  <c r="Q42" i="1" a="1"/>
  <c r="Q42" i="1"/>
  <c r="Q43" i="1" a="1"/>
  <c r="Q43" i="1"/>
  <c r="Q44" i="1" a="1"/>
  <c r="Q44" i="1"/>
  <c r="Q45" i="1" a="1"/>
  <c r="Q45" i="1"/>
  <c r="Q46" i="1" a="1"/>
  <c r="Q46" i="1"/>
  <c r="Q47" i="1" a="1"/>
  <c r="Q47" i="1"/>
  <c r="Q48" i="1" a="1"/>
  <c r="Q48" i="1"/>
  <c r="Q49" i="1" a="1"/>
  <c r="Q49" i="1"/>
  <c r="Q50" i="1" a="1"/>
  <c r="Q50" i="1"/>
  <c r="Q51" i="1" a="1"/>
  <c r="Q51" i="1"/>
  <c r="Q52" i="1" a="1"/>
  <c r="Q52" i="1"/>
  <c r="Q53" i="1" a="1"/>
  <c r="Q53" i="1"/>
  <c r="Q54" i="1" a="1"/>
  <c r="Q54" i="1"/>
  <c r="Q55" i="1" a="1"/>
  <c r="Q55" i="1"/>
  <c r="Q56" i="1" a="1"/>
  <c r="Q56" i="1"/>
  <c r="Q57" i="1" a="1"/>
  <c r="Q57" i="1"/>
  <c r="Q58" i="1" a="1"/>
  <c r="Q58" i="1"/>
  <c r="Q59" i="1" a="1"/>
  <c r="Q59" i="1"/>
  <c r="Q60" i="1" a="1"/>
  <c r="Q60" i="1"/>
  <c r="Q61" i="1" a="1"/>
  <c r="Q61" i="1"/>
  <c r="Q62" i="1" a="1"/>
  <c r="Q62" i="1"/>
  <c r="Q63" i="1" a="1"/>
  <c r="Q63" i="1"/>
  <c r="Q64" i="1" a="1"/>
  <c r="Q64" i="1"/>
  <c r="Q65" i="1" a="1"/>
  <c r="Q65" i="1"/>
  <c r="Q66" i="1" a="1"/>
  <c r="Q66" i="1"/>
  <c r="Q67" i="1" a="1"/>
  <c r="Q67" i="1"/>
  <c r="Q68" i="1" a="1"/>
  <c r="Q68" i="1"/>
  <c r="Q69" i="1" a="1"/>
  <c r="Q69" i="1"/>
  <c r="Q70" i="1" a="1"/>
  <c r="Q70" i="1"/>
  <c r="Q71" i="1" a="1"/>
  <c r="Q71" i="1"/>
  <c r="Q72" i="1" a="1"/>
  <c r="Q72" i="1"/>
  <c r="Q24" i="1" a="1"/>
  <c r="Q24" i="1" s="1"/>
  <c r="P25" i="1" a="1"/>
  <c r="P25" i="1" s="1"/>
  <c r="P26" i="1" a="1"/>
  <c r="P26" i="1" s="1"/>
  <c r="P27" i="1" a="1"/>
  <c r="P27" i="1" s="1"/>
  <c r="P28" i="1" a="1"/>
  <c r="P28" i="1" s="1"/>
  <c r="P29" i="1" a="1"/>
  <c r="P29" i="1" s="1"/>
  <c r="P30" i="1" a="1"/>
  <c r="P30" i="1" s="1"/>
  <c r="P31" i="1" a="1"/>
  <c r="P31" i="1" s="1"/>
  <c r="P32" i="1" a="1"/>
  <c r="P32" i="1" s="1"/>
  <c r="P33" i="1" a="1"/>
  <c r="P33" i="1" s="1"/>
  <c r="P34" i="1" a="1"/>
  <c r="P34" i="1" s="1"/>
  <c r="P35" i="1" a="1"/>
  <c r="P35" i="1" s="1"/>
  <c r="P36" i="1" a="1"/>
  <c r="P36" i="1" s="1"/>
  <c r="P37" i="1" a="1"/>
  <c r="P37" i="1" s="1"/>
  <c r="P38" i="1" a="1"/>
  <c r="P38" i="1" s="1"/>
  <c r="P39" i="1" a="1"/>
  <c r="P39" i="1" s="1"/>
  <c r="P40" i="1" a="1"/>
  <c r="P40" i="1" s="1"/>
  <c r="P41" i="1" a="1"/>
  <c r="P41" i="1" s="1"/>
  <c r="P42" i="1" a="1"/>
  <c r="P42" i="1" s="1"/>
  <c r="P43" i="1" a="1"/>
  <c r="P43" i="1" s="1"/>
  <c r="P44" i="1" a="1"/>
  <c r="P44" i="1" s="1"/>
  <c r="P45" i="1" a="1"/>
  <c r="P45" i="1" s="1"/>
  <c r="P46" i="1" a="1"/>
  <c r="P46" i="1" s="1"/>
  <c r="P47" i="1" a="1"/>
  <c r="P47" i="1" s="1"/>
  <c r="P48" i="1" a="1"/>
  <c r="P48" i="1" s="1"/>
  <c r="P49" i="1" a="1"/>
  <c r="P49" i="1" s="1"/>
  <c r="P50" i="1" a="1"/>
  <c r="P50" i="1" s="1"/>
  <c r="P51" i="1" a="1"/>
  <c r="P51" i="1" s="1"/>
  <c r="P52" i="1" a="1"/>
  <c r="P52" i="1" s="1"/>
  <c r="P53" i="1" a="1"/>
  <c r="P53" i="1" s="1"/>
  <c r="P54" i="1" a="1"/>
  <c r="P54" i="1" s="1"/>
  <c r="P55" i="1" a="1"/>
  <c r="P55" i="1" s="1"/>
  <c r="P56" i="1" a="1"/>
  <c r="P56" i="1" s="1"/>
  <c r="P57" i="1" a="1"/>
  <c r="P57" i="1" s="1"/>
  <c r="P58" i="1" a="1"/>
  <c r="P58" i="1" s="1"/>
  <c r="P59" i="1" a="1"/>
  <c r="P59" i="1" s="1"/>
  <c r="P60" i="1" a="1"/>
  <c r="P60" i="1" s="1"/>
  <c r="P61" i="1" a="1"/>
  <c r="P61" i="1" s="1"/>
  <c r="P62" i="1" a="1"/>
  <c r="P62" i="1" s="1"/>
  <c r="P63" i="1" a="1"/>
  <c r="P63" i="1" s="1"/>
  <c r="P64" i="1" a="1"/>
  <c r="P64" i="1" s="1"/>
  <c r="P65" i="1" a="1"/>
  <c r="P65" i="1" s="1"/>
  <c r="P66" i="1" a="1"/>
  <c r="P66" i="1" s="1"/>
  <c r="P67" i="1" a="1"/>
  <c r="P67" i="1" s="1"/>
  <c r="P68" i="1" a="1"/>
  <c r="P68" i="1" s="1"/>
  <c r="P69" i="1" a="1"/>
  <c r="P69" i="1" s="1"/>
  <c r="P70" i="1" a="1"/>
  <c r="P70" i="1" s="1"/>
  <c r="P71" i="1" a="1"/>
  <c r="P71" i="1" s="1"/>
  <c r="P72" i="1" a="1"/>
  <c r="P72" i="1" s="1"/>
  <c r="P24" i="1" a="1"/>
  <c r="P24" i="1" s="1"/>
  <c r="O24" i="1" a="1"/>
  <c r="O24" i="1" s="1"/>
  <c r="O25" i="1" a="1"/>
  <c r="O25" i="1" s="1"/>
  <c r="O26" i="1" a="1"/>
  <c r="O26" i="1" s="1"/>
  <c r="O27" i="1" a="1"/>
  <c r="O27" i="1" s="1"/>
  <c r="O28" i="1" a="1"/>
  <c r="O28" i="1" s="1"/>
  <c r="O29" i="1" a="1"/>
  <c r="O29" i="1" s="1"/>
  <c r="O30" i="1" a="1"/>
  <c r="O30" i="1" s="1"/>
  <c r="O31" i="1" a="1"/>
  <c r="O31" i="1" s="1"/>
  <c r="O32" i="1" a="1"/>
  <c r="O32" i="1" s="1"/>
  <c r="O33" i="1" a="1"/>
  <c r="O33" i="1" s="1"/>
  <c r="O34" i="1" a="1"/>
  <c r="O34" i="1" s="1"/>
  <c r="O35" i="1" a="1"/>
  <c r="O35" i="1" s="1"/>
  <c r="O36" i="1" a="1"/>
  <c r="O36" i="1" s="1"/>
  <c r="O37" i="1" a="1"/>
  <c r="O37" i="1" s="1"/>
  <c r="O38" i="1" a="1"/>
  <c r="O38" i="1" s="1"/>
  <c r="O39" i="1" a="1"/>
  <c r="O39" i="1" s="1"/>
  <c r="O40" i="1" a="1"/>
  <c r="O40" i="1" s="1"/>
  <c r="O41" i="1" a="1"/>
  <c r="O41" i="1" s="1"/>
  <c r="O42" i="1" a="1"/>
  <c r="O42" i="1" s="1"/>
  <c r="O43" i="1" a="1"/>
  <c r="O43" i="1" s="1"/>
  <c r="O44" i="1" a="1"/>
  <c r="O44" i="1" s="1"/>
  <c r="O45" i="1" a="1"/>
  <c r="O45" i="1" s="1"/>
  <c r="O46" i="1" a="1"/>
  <c r="O46" i="1" s="1"/>
  <c r="O47" i="1" a="1"/>
  <c r="O47" i="1" s="1"/>
  <c r="O48" i="1" a="1"/>
  <c r="O48" i="1" s="1"/>
  <c r="O49" i="1" a="1"/>
  <c r="O49" i="1" s="1"/>
  <c r="O50" i="1" a="1"/>
  <c r="O50" i="1" s="1"/>
  <c r="O51" i="1" a="1"/>
  <c r="O51" i="1" s="1"/>
  <c r="O52" i="1" a="1"/>
  <c r="O52" i="1" s="1"/>
  <c r="O53" i="1" a="1"/>
  <c r="O53" i="1" s="1"/>
  <c r="O54" i="1" a="1"/>
  <c r="O54" i="1" s="1"/>
  <c r="O55" i="1" a="1"/>
  <c r="O55" i="1" s="1"/>
  <c r="O56" i="1" a="1"/>
  <c r="O56" i="1" s="1"/>
  <c r="O57" i="1" a="1"/>
  <c r="O57" i="1" s="1"/>
  <c r="O58" i="1" a="1"/>
  <c r="O58" i="1" s="1"/>
  <c r="O59" i="1" a="1"/>
  <c r="O59" i="1" s="1"/>
  <c r="O60" i="1" a="1"/>
  <c r="O60" i="1" s="1"/>
  <c r="O61" i="1" a="1"/>
  <c r="O61" i="1" s="1"/>
  <c r="O62" i="1" a="1"/>
  <c r="O62" i="1" s="1"/>
  <c r="O63" i="1" a="1"/>
  <c r="O63" i="1" s="1"/>
  <c r="O64" i="1" a="1"/>
  <c r="O64" i="1" s="1"/>
  <c r="O65" i="1" a="1"/>
  <c r="O65" i="1" s="1"/>
  <c r="O66" i="1" a="1"/>
  <c r="O66" i="1" s="1"/>
  <c r="O67" i="1" a="1"/>
  <c r="O67" i="1" s="1"/>
  <c r="O68" i="1" a="1"/>
  <c r="O68" i="1" s="1"/>
  <c r="O69" i="1" a="1"/>
  <c r="O69" i="1" s="1"/>
  <c r="O70" i="1" a="1"/>
  <c r="O70" i="1" s="1"/>
  <c r="O71" i="1" a="1"/>
  <c r="O71" i="1" s="1"/>
  <c r="O72" i="1" a="1"/>
  <c r="O72" i="1" s="1"/>
  <c r="N25" i="1" a="1"/>
  <c r="N25" i="1" s="1"/>
  <c r="N26" i="1" a="1"/>
  <c r="N26" i="1" s="1"/>
  <c r="N27" i="1" a="1"/>
  <c r="N27" i="1" s="1"/>
  <c r="N28" i="1" a="1"/>
  <c r="N28" i="1" s="1"/>
  <c r="N29" i="1" a="1"/>
  <c r="N29" i="1" s="1"/>
  <c r="N30" i="1" a="1"/>
  <c r="N30" i="1" s="1"/>
  <c r="N31" i="1" a="1"/>
  <c r="N31" i="1" s="1"/>
  <c r="N32" i="1" a="1"/>
  <c r="N32" i="1" s="1"/>
  <c r="N33" i="1" a="1"/>
  <c r="N33" i="1" s="1"/>
  <c r="N34" i="1" a="1"/>
  <c r="N34" i="1" s="1"/>
  <c r="N35" i="1" a="1"/>
  <c r="N35" i="1" s="1"/>
  <c r="N36" i="1" a="1"/>
  <c r="N36" i="1" s="1"/>
  <c r="N37" i="1" a="1"/>
  <c r="N37" i="1" s="1"/>
  <c r="N38" i="1" a="1"/>
  <c r="N38" i="1" s="1"/>
  <c r="N39" i="1" a="1"/>
  <c r="N39" i="1" s="1"/>
  <c r="N40" i="1" a="1"/>
  <c r="N40" i="1" s="1"/>
  <c r="N41" i="1" a="1"/>
  <c r="N41" i="1" s="1"/>
  <c r="N42" i="1" a="1"/>
  <c r="N42" i="1" s="1"/>
  <c r="N43" i="1" a="1"/>
  <c r="N43" i="1" s="1"/>
  <c r="N44" i="1" a="1"/>
  <c r="N44" i="1" s="1"/>
  <c r="N45" i="1" a="1"/>
  <c r="N45" i="1" s="1"/>
  <c r="N46" i="1" a="1"/>
  <c r="N46" i="1" s="1"/>
  <c r="N47" i="1" a="1"/>
  <c r="N47" i="1" s="1"/>
  <c r="N48" i="1" a="1"/>
  <c r="N48" i="1" s="1"/>
  <c r="N49" i="1" a="1"/>
  <c r="N49" i="1" s="1"/>
  <c r="N50" i="1" a="1"/>
  <c r="N50" i="1" s="1"/>
  <c r="N51" i="1" a="1"/>
  <c r="N51" i="1" s="1"/>
  <c r="N52" i="1" a="1"/>
  <c r="N52" i="1" s="1"/>
  <c r="N53" i="1" a="1"/>
  <c r="N53" i="1" s="1"/>
  <c r="N54" i="1" a="1"/>
  <c r="N54" i="1" s="1"/>
  <c r="N55" i="1" a="1"/>
  <c r="N55" i="1" s="1"/>
  <c r="N56" i="1" a="1"/>
  <c r="N56" i="1" s="1"/>
  <c r="N57" i="1" a="1"/>
  <c r="N57" i="1" s="1"/>
  <c r="N58" i="1" a="1"/>
  <c r="N58" i="1" s="1"/>
  <c r="N59" i="1" a="1"/>
  <c r="N59" i="1" s="1"/>
  <c r="N60" i="1" a="1"/>
  <c r="N60" i="1" s="1"/>
  <c r="N61" i="1" a="1"/>
  <c r="N61" i="1" s="1"/>
  <c r="N62" i="1" a="1"/>
  <c r="N62" i="1" s="1"/>
  <c r="N63" i="1" a="1"/>
  <c r="N63" i="1" s="1"/>
  <c r="N64" i="1" a="1"/>
  <c r="N64" i="1" s="1"/>
  <c r="N65" i="1" a="1"/>
  <c r="N65" i="1" s="1"/>
  <c r="N66" i="1" a="1"/>
  <c r="N66" i="1" s="1"/>
  <c r="N67" i="1" a="1"/>
  <c r="N67" i="1" s="1"/>
  <c r="N68" i="1" a="1"/>
  <c r="N68" i="1" s="1"/>
  <c r="N69" i="1" a="1"/>
  <c r="N69" i="1" s="1"/>
  <c r="N70" i="1" a="1"/>
  <c r="N70" i="1" s="1"/>
  <c r="N71" i="1" a="1"/>
  <c r="N71" i="1" s="1"/>
  <c r="N72" i="1" a="1"/>
  <c r="N72" i="1" s="1"/>
  <c r="N24" i="1" a="1"/>
  <c r="N24" i="1" s="1"/>
  <c r="M25" i="1" a="1"/>
  <c r="M25" i="1" s="1"/>
  <c r="M26" i="1" a="1"/>
  <c r="M26" i="1" s="1"/>
  <c r="M27" i="1" a="1"/>
  <c r="M27" i="1" s="1"/>
  <c r="M28" i="1" a="1"/>
  <c r="M28" i="1" s="1"/>
  <c r="M29" i="1" a="1"/>
  <c r="M29" i="1" s="1"/>
  <c r="M30" i="1" a="1"/>
  <c r="M30" i="1" s="1"/>
  <c r="M31" i="1" a="1"/>
  <c r="M31" i="1" s="1"/>
  <c r="M32" i="1" a="1"/>
  <c r="M32" i="1" s="1"/>
  <c r="M33" i="1" a="1"/>
  <c r="M33" i="1" s="1"/>
  <c r="M34" i="1" a="1"/>
  <c r="M34" i="1" s="1"/>
  <c r="M35" i="1" a="1"/>
  <c r="M35" i="1" s="1"/>
  <c r="M36" i="1" a="1"/>
  <c r="M36" i="1" s="1"/>
  <c r="M37" i="1" a="1"/>
  <c r="M37" i="1" s="1"/>
  <c r="M38" i="1" a="1"/>
  <c r="M38" i="1" s="1"/>
  <c r="M39" i="1" a="1"/>
  <c r="M39" i="1" s="1"/>
  <c r="M40" i="1" a="1"/>
  <c r="M40" i="1" s="1"/>
  <c r="M41" i="1" a="1"/>
  <c r="M41" i="1" s="1"/>
  <c r="M42" i="1" a="1"/>
  <c r="M42" i="1" s="1"/>
  <c r="M43" i="1" a="1"/>
  <c r="M43" i="1" s="1"/>
  <c r="M44" i="1" a="1"/>
  <c r="M44" i="1" s="1"/>
  <c r="M45" i="1" a="1"/>
  <c r="M45" i="1" s="1"/>
  <c r="M46" i="1" a="1"/>
  <c r="M46" i="1" s="1"/>
  <c r="M47" i="1" a="1"/>
  <c r="M47" i="1" s="1"/>
  <c r="M48" i="1" a="1"/>
  <c r="M48" i="1" s="1"/>
  <c r="M49" i="1" a="1"/>
  <c r="M49" i="1" s="1"/>
  <c r="M50" i="1" a="1"/>
  <c r="M50" i="1" s="1"/>
  <c r="M51" i="1" a="1"/>
  <c r="M51" i="1" s="1"/>
  <c r="M52" i="1" a="1"/>
  <c r="M52" i="1" s="1"/>
  <c r="M53" i="1" a="1"/>
  <c r="M53" i="1" s="1"/>
  <c r="M54" i="1" a="1"/>
  <c r="M54" i="1" s="1"/>
  <c r="M55" i="1" a="1"/>
  <c r="M55" i="1" s="1"/>
  <c r="M56" i="1" a="1"/>
  <c r="M56" i="1" s="1"/>
  <c r="M57" i="1" a="1"/>
  <c r="M57" i="1" s="1"/>
  <c r="M58" i="1" a="1"/>
  <c r="M58" i="1" s="1"/>
  <c r="M59" i="1" a="1"/>
  <c r="M59" i="1" s="1"/>
  <c r="M60" i="1" a="1"/>
  <c r="M60" i="1" s="1"/>
  <c r="M61" i="1" a="1"/>
  <c r="M61" i="1" s="1"/>
  <c r="M62" i="1" a="1"/>
  <c r="M62" i="1" s="1"/>
  <c r="M63" i="1" a="1"/>
  <c r="M63" i="1" s="1"/>
  <c r="M64" i="1" a="1"/>
  <c r="M64" i="1" s="1"/>
  <c r="M65" i="1" a="1"/>
  <c r="M65" i="1" s="1"/>
  <c r="M66" i="1" a="1"/>
  <c r="M66" i="1" s="1"/>
  <c r="M67" i="1" a="1"/>
  <c r="M67" i="1" s="1"/>
  <c r="M68" i="1" a="1"/>
  <c r="M68" i="1" s="1"/>
  <c r="M69" i="1" a="1"/>
  <c r="M69" i="1" s="1"/>
  <c r="M70" i="1" a="1"/>
  <c r="M70" i="1" s="1"/>
  <c r="M71" i="1" a="1"/>
  <c r="M71" i="1" s="1"/>
  <c r="M72" i="1" a="1"/>
  <c r="M72" i="1" s="1"/>
  <c r="M24" i="1" a="1"/>
  <c r="M24" i="1" s="1"/>
  <c r="Q20" i="1" a="1"/>
  <c r="Q20" i="1" s="1"/>
  <c r="Q19" i="1" a="1"/>
  <c r="Q19" i="1" s="1"/>
  <c r="Q18" i="1"/>
  <c r="Q17" i="1"/>
  <c r="P20" i="1" a="1"/>
  <c r="P20" i="1" s="1"/>
  <c r="P19" i="1" a="1"/>
  <c r="P19" i="1" s="1"/>
  <c r="P18" i="1"/>
  <c r="P17" i="1"/>
  <c r="O20" i="1" a="1"/>
  <c r="O20" i="1" s="1"/>
  <c r="O19" i="1" a="1"/>
  <c r="O19" i="1" s="1"/>
  <c r="O18" i="1"/>
  <c r="O17" i="1"/>
  <c r="N20" i="1" a="1"/>
  <c r="N20" i="1" s="1"/>
  <c r="N19" i="1" a="1"/>
  <c r="N19" i="1" s="1"/>
  <c r="N18" i="1"/>
  <c r="N17" i="1"/>
  <c r="M20" i="1" a="1"/>
  <c r="M20" i="1" s="1"/>
  <c r="M19" i="1" a="1"/>
  <c r="M19" i="1" s="1"/>
  <c r="M18" i="1"/>
  <c r="M17" i="1"/>
  <c r="Q13" i="1" a="1"/>
  <c r="Q13" i="1" s="1"/>
  <c r="P13" i="1" a="1"/>
  <c r="P13" i="1" s="1"/>
  <c r="O13" i="1" a="1"/>
  <c r="O13" i="1" s="1"/>
  <c r="N13" i="1" a="1"/>
  <c r="N13" i="1" s="1"/>
  <c r="M13" i="1" a="1"/>
  <c r="M13" i="1" s="1"/>
  <c r="Q6" i="1" a="1"/>
  <c r="Q6" i="1" s="1"/>
  <c r="P6" i="1" a="1"/>
  <c r="P6" i="1" s="1"/>
  <c r="O6" i="1" a="1"/>
  <c r="O6" i="1" s="1"/>
  <c r="N6" i="1" a="1"/>
  <c r="N6" i="1" s="1"/>
  <c r="M6" i="1" a="1"/>
  <c r="M6" i="1" s="1"/>
  <c r="I2" i="1"/>
  <c r="J2" i="1"/>
  <c r="H2" i="1"/>
  <c r="B13" i="1"/>
  <c r="B23" i="1" s="1"/>
  <c r="B33" i="1" s="1"/>
  <c r="B43" i="1" s="1"/>
  <c r="B53" i="1" s="1"/>
  <c r="B63" i="1" s="1"/>
  <c r="B73" i="1" s="1"/>
  <c r="B83" i="1" s="1"/>
  <c r="B93" i="1" s="1"/>
  <c r="B103" i="1" s="1"/>
  <c r="B113" i="1" s="1"/>
  <c r="B123" i="1" s="1"/>
  <c r="B133" i="1" s="1"/>
  <c r="B143" i="1" s="1"/>
  <c r="B153" i="1" s="1"/>
  <c r="B163" i="1" s="1"/>
  <c r="B173" i="1" s="1"/>
  <c r="B183" i="1" s="1"/>
  <c r="B193" i="1" s="1"/>
  <c r="B203" i="1" s="1"/>
  <c r="B213" i="1" s="1"/>
  <c r="B223" i="1" s="1"/>
  <c r="B233" i="1" s="1"/>
  <c r="B243" i="1" s="1"/>
  <c r="B253" i="1" s="1"/>
  <c r="B263" i="1" s="1"/>
  <c r="B273" i="1" s="1"/>
  <c r="B283" i="1" s="1"/>
  <c r="B293" i="1" s="1"/>
  <c r="B303" i="1" s="1"/>
  <c r="B313" i="1" s="1"/>
  <c r="B323" i="1" s="1"/>
  <c r="B333" i="1" s="1"/>
  <c r="B343" i="1" s="1"/>
  <c r="B353" i="1" s="1"/>
  <c r="B363" i="1" s="1"/>
  <c r="B373" i="1" s="1"/>
  <c r="B383" i="1" s="1"/>
  <c r="B393" i="1" s="1"/>
  <c r="B403" i="1" s="1"/>
  <c r="B413" i="1" s="1"/>
  <c r="B423" i="1" s="1"/>
  <c r="B433" i="1" s="1"/>
  <c r="B443" i="1" s="1"/>
  <c r="B453" i="1" s="1"/>
  <c r="B463" i="1" s="1"/>
  <c r="B473" i="1" s="1"/>
  <c r="B483" i="1" s="1"/>
  <c r="C13" i="1"/>
  <c r="C23" i="1" s="1"/>
  <c r="C33" i="1" s="1"/>
  <c r="C43" i="1" s="1"/>
  <c r="C53" i="1" s="1"/>
  <c r="C63" i="1" s="1"/>
  <c r="C73" i="1" s="1"/>
  <c r="C83" i="1" s="1"/>
  <c r="C93" i="1" s="1"/>
  <c r="C103" i="1" s="1"/>
  <c r="C113" i="1" s="1"/>
  <c r="C123" i="1" s="1"/>
  <c r="C133" i="1" s="1"/>
  <c r="C143" i="1" s="1"/>
  <c r="C153" i="1" s="1"/>
  <c r="C163" i="1" s="1"/>
  <c r="C173" i="1" s="1"/>
  <c r="C183" i="1" s="1"/>
  <c r="C193" i="1" s="1"/>
  <c r="C203" i="1" s="1"/>
  <c r="C213" i="1" s="1"/>
  <c r="C223" i="1" s="1"/>
  <c r="C233" i="1" s="1"/>
  <c r="C243" i="1" s="1"/>
  <c r="C253" i="1" s="1"/>
  <c r="C263" i="1" s="1"/>
  <c r="C273" i="1" s="1"/>
  <c r="C283" i="1" s="1"/>
  <c r="C293" i="1" s="1"/>
  <c r="C303" i="1" s="1"/>
  <c r="C313" i="1" s="1"/>
  <c r="C323" i="1" s="1"/>
  <c r="C333" i="1" s="1"/>
  <c r="C343" i="1" s="1"/>
  <c r="C353" i="1" s="1"/>
  <c r="C363" i="1" s="1"/>
  <c r="C373" i="1" s="1"/>
  <c r="C383" i="1" s="1"/>
  <c r="C393" i="1" s="1"/>
  <c r="C403" i="1" s="1"/>
  <c r="C413" i="1" s="1"/>
  <c r="C423" i="1" s="1"/>
  <c r="C433" i="1" s="1"/>
  <c r="C443" i="1" s="1"/>
  <c r="C453" i="1" s="1"/>
  <c r="C463" i="1" s="1"/>
  <c r="C473" i="1" s="1"/>
  <c r="C483" i="1" s="1"/>
  <c r="B14" i="1"/>
  <c r="B24" i="1" s="1"/>
  <c r="B34" i="1" s="1"/>
  <c r="B44" i="1" s="1"/>
  <c r="B54" i="1" s="1"/>
  <c r="B64" i="1" s="1"/>
  <c r="B74" i="1" s="1"/>
  <c r="B84" i="1" s="1"/>
  <c r="B94" i="1" s="1"/>
  <c r="B104" i="1" s="1"/>
  <c r="B114" i="1" s="1"/>
  <c r="B124" i="1" s="1"/>
  <c r="B134" i="1" s="1"/>
  <c r="B144" i="1" s="1"/>
  <c r="B154" i="1" s="1"/>
  <c r="B164" i="1" s="1"/>
  <c r="B174" i="1" s="1"/>
  <c r="B184" i="1" s="1"/>
  <c r="B194" i="1" s="1"/>
  <c r="B204" i="1" s="1"/>
  <c r="B214" i="1" s="1"/>
  <c r="B224" i="1" s="1"/>
  <c r="B234" i="1" s="1"/>
  <c r="B244" i="1" s="1"/>
  <c r="B254" i="1" s="1"/>
  <c r="B264" i="1" s="1"/>
  <c r="B274" i="1" s="1"/>
  <c r="B284" i="1" s="1"/>
  <c r="B294" i="1" s="1"/>
  <c r="B304" i="1" s="1"/>
  <c r="B314" i="1" s="1"/>
  <c r="B324" i="1" s="1"/>
  <c r="B334" i="1" s="1"/>
  <c r="B344" i="1" s="1"/>
  <c r="B354" i="1" s="1"/>
  <c r="B364" i="1" s="1"/>
  <c r="B374" i="1" s="1"/>
  <c r="B384" i="1" s="1"/>
  <c r="B394" i="1" s="1"/>
  <c r="B404" i="1" s="1"/>
  <c r="B414" i="1" s="1"/>
  <c r="B424" i="1" s="1"/>
  <c r="B434" i="1" s="1"/>
  <c r="B444" i="1" s="1"/>
  <c r="B454" i="1" s="1"/>
  <c r="B464" i="1" s="1"/>
  <c r="B474" i="1" s="1"/>
  <c r="B484" i="1" s="1"/>
  <c r="C14" i="1"/>
  <c r="C24" i="1" s="1"/>
  <c r="C34" i="1" s="1"/>
  <c r="C44" i="1" s="1"/>
  <c r="C54" i="1" s="1"/>
  <c r="C64" i="1" s="1"/>
  <c r="C74" i="1" s="1"/>
  <c r="C84" i="1" s="1"/>
  <c r="C94" i="1" s="1"/>
  <c r="C104" i="1" s="1"/>
  <c r="C114" i="1" s="1"/>
  <c r="C124" i="1" s="1"/>
  <c r="C134" i="1" s="1"/>
  <c r="C144" i="1" s="1"/>
  <c r="C154" i="1" s="1"/>
  <c r="C164" i="1" s="1"/>
  <c r="C174" i="1" s="1"/>
  <c r="C184" i="1" s="1"/>
  <c r="C194" i="1" s="1"/>
  <c r="C204" i="1" s="1"/>
  <c r="C214" i="1" s="1"/>
  <c r="C224" i="1" s="1"/>
  <c r="C234" i="1" s="1"/>
  <c r="C244" i="1" s="1"/>
  <c r="C254" i="1" s="1"/>
  <c r="C264" i="1" s="1"/>
  <c r="C274" i="1" s="1"/>
  <c r="C284" i="1" s="1"/>
  <c r="C294" i="1" s="1"/>
  <c r="C304" i="1" s="1"/>
  <c r="C314" i="1" s="1"/>
  <c r="C324" i="1" s="1"/>
  <c r="C334" i="1" s="1"/>
  <c r="C344" i="1" s="1"/>
  <c r="C354" i="1" s="1"/>
  <c r="C364" i="1" s="1"/>
  <c r="C374" i="1" s="1"/>
  <c r="C384" i="1" s="1"/>
  <c r="C394" i="1" s="1"/>
  <c r="C404" i="1" s="1"/>
  <c r="C414" i="1" s="1"/>
  <c r="C424" i="1" s="1"/>
  <c r="C434" i="1" s="1"/>
  <c r="C444" i="1" s="1"/>
  <c r="C454" i="1" s="1"/>
  <c r="C464" i="1" s="1"/>
  <c r="C474" i="1" s="1"/>
  <c r="C484" i="1" s="1"/>
  <c r="B15" i="1"/>
  <c r="B25" i="1" s="1"/>
  <c r="B35" i="1" s="1"/>
  <c r="B45" i="1" s="1"/>
  <c r="B55" i="1" s="1"/>
  <c r="B65" i="1" s="1"/>
  <c r="B75" i="1" s="1"/>
  <c r="B85" i="1" s="1"/>
  <c r="B95" i="1" s="1"/>
  <c r="B105" i="1" s="1"/>
  <c r="B115" i="1" s="1"/>
  <c r="B125" i="1" s="1"/>
  <c r="B135" i="1" s="1"/>
  <c r="B145" i="1" s="1"/>
  <c r="B155" i="1" s="1"/>
  <c r="B165" i="1" s="1"/>
  <c r="B175" i="1" s="1"/>
  <c r="B185" i="1" s="1"/>
  <c r="B195" i="1" s="1"/>
  <c r="B205" i="1" s="1"/>
  <c r="B215" i="1" s="1"/>
  <c r="B225" i="1" s="1"/>
  <c r="B235" i="1" s="1"/>
  <c r="B245" i="1" s="1"/>
  <c r="B255" i="1" s="1"/>
  <c r="B265" i="1" s="1"/>
  <c r="B275" i="1" s="1"/>
  <c r="B285" i="1" s="1"/>
  <c r="B295" i="1" s="1"/>
  <c r="B305" i="1" s="1"/>
  <c r="B315" i="1" s="1"/>
  <c r="B325" i="1" s="1"/>
  <c r="B335" i="1" s="1"/>
  <c r="B345" i="1" s="1"/>
  <c r="B355" i="1" s="1"/>
  <c r="B365" i="1" s="1"/>
  <c r="B375" i="1" s="1"/>
  <c r="B385" i="1" s="1"/>
  <c r="B395" i="1" s="1"/>
  <c r="B405" i="1" s="1"/>
  <c r="B415" i="1" s="1"/>
  <c r="B425" i="1" s="1"/>
  <c r="B435" i="1" s="1"/>
  <c r="B445" i="1" s="1"/>
  <c r="B455" i="1" s="1"/>
  <c r="B465" i="1" s="1"/>
  <c r="B475" i="1" s="1"/>
  <c r="B485" i="1" s="1"/>
  <c r="C15" i="1"/>
  <c r="C25" i="1" s="1"/>
  <c r="C35" i="1" s="1"/>
  <c r="C45" i="1" s="1"/>
  <c r="C55" i="1" s="1"/>
  <c r="C65" i="1" s="1"/>
  <c r="C75" i="1" s="1"/>
  <c r="C85" i="1" s="1"/>
  <c r="C95" i="1" s="1"/>
  <c r="C105" i="1" s="1"/>
  <c r="C115" i="1" s="1"/>
  <c r="C125" i="1" s="1"/>
  <c r="C135" i="1" s="1"/>
  <c r="C145" i="1" s="1"/>
  <c r="C155" i="1" s="1"/>
  <c r="C165" i="1" s="1"/>
  <c r="C175" i="1" s="1"/>
  <c r="C185" i="1" s="1"/>
  <c r="C195" i="1" s="1"/>
  <c r="C205" i="1" s="1"/>
  <c r="C215" i="1" s="1"/>
  <c r="C225" i="1" s="1"/>
  <c r="C235" i="1" s="1"/>
  <c r="C245" i="1" s="1"/>
  <c r="C255" i="1" s="1"/>
  <c r="C265" i="1" s="1"/>
  <c r="C275" i="1" s="1"/>
  <c r="C285" i="1" s="1"/>
  <c r="C295" i="1" s="1"/>
  <c r="C305" i="1" s="1"/>
  <c r="C315" i="1" s="1"/>
  <c r="C325" i="1" s="1"/>
  <c r="C335" i="1" s="1"/>
  <c r="C345" i="1" s="1"/>
  <c r="C355" i="1" s="1"/>
  <c r="C365" i="1" s="1"/>
  <c r="C375" i="1" s="1"/>
  <c r="C385" i="1" s="1"/>
  <c r="C395" i="1" s="1"/>
  <c r="C405" i="1" s="1"/>
  <c r="C415" i="1" s="1"/>
  <c r="C425" i="1" s="1"/>
  <c r="C435" i="1" s="1"/>
  <c r="C445" i="1" s="1"/>
  <c r="C455" i="1" s="1"/>
  <c r="C465" i="1" s="1"/>
  <c r="C475" i="1" s="1"/>
  <c r="C485" i="1" s="1"/>
  <c r="B16" i="1"/>
  <c r="C16" i="1"/>
  <c r="B17" i="1"/>
  <c r="C17" i="1"/>
  <c r="C27" i="1" s="1"/>
  <c r="C37" i="1" s="1"/>
  <c r="C47" i="1" s="1"/>
  <c r="C57" i="1" s="1"/>
  <c r="C67" i="1" s="1"/>
  <c r="C77" i="1" s="1"/>
  <c r="C87" i="1" s="1"/>
  <c r="C97" i="1" s="1"/>
  <c r="C107" i="1" s="1"/>
  <c r="C117" i="1" s="1"/>
  <c r="C127" i="1" s="1"/>
  <c r="C137" i="1" s="1"/>
  <c r="C147" i="1" s="1"/>
  <c r="C157" i="1" s="1"/>
  <c r="C167" i="1" s="1"/>
  <c r="C177" i="1" s="1"/>
  <c r="C187" i="1" s="1"/>
  <c r="C197" i="1" s="1"/>
  <c r="C207" i="1" s="1"/>
  <c r="C217" i="1" s="1"/>
  <c r="C227" i="1" s="1"/>
  <c r="C237" i="1" s="1"/>
  <c r="C247" i="1" s="1"/>
  <c r="C257" i="1" s="1"/>
  <c r="C267" i="1" s="1"/>
  <c r="C277" i="1" s="1"/>
  <c r="C287" i="1" s="1"/>
  <c r="C297" i="1" s="1"/>
  <c r="C307" i="1" s="1"/>
  <c r="C317" i="1" s="1"/>
  <c r="C327" i="1" s="1"/>
  <c r="C337" i="1" s="1"/>
  <c r="C347" i="1" s="1"/>
  <c r="C357" i="1" s="1"/>
  <c r="C367" i="1" s="1"/>
  <c r="C377" i="1" s="1"/>
  <c r="C387" i="1" s="1"/>
  <c r="C397" i="1" s="1"/>
  <c r="C407" i="1" s="1"/>
  <c r="C417" i="1" s="1"/>
  <c r="C427" i="1" s="1"/>
  <c r="C437" i="1" s="1"/>
  <c r="C447" i="1" s="1"/>
  <c r="C457" i="1" s="1"/>
  <c r="C467" i="1" s="1"/>
  <c r="C477" i="1" s="1"/>
  <c r="C487" i="1" s="1"/>
  <c r="B18" i="1"/>
  <c r="B28" i="1" s="1"/>
  <c r="B38" i="1" s="1"/>
  <c r="B48" i="1" s="1"/>
  <c r="B58" i="1" s="1"/>
  <c r="B68" i="1" s="1"/>
  <c r="B78" i="1" s="1"/>
  <c r="B88" i="1" s="1"/>
  <c r="B98" i="1" s="1"/>
  <c r="B108" i="1" s="1"/>
  <c r="B118" i="1" s="1"/>
  <c r="B128" i="1" s="1"/>
  <c r="B138" i="1" s="1"/>
  <c r="B148" i="1" s="1"/>
  <c r="B158" i="1" s="1"/>
  <c r="B168" i="1" s="1"/>
  <c r="B178" i="1" s="1"/>
  <c r="B188" i="1" s="1"/>
  <c r="B198" i="1" s="1"/>
  <c r="B208" i="1" s="1"/>
  <c r="B218" i="1" s="1"/>
  <c r="B228" i="1" s="1"/>
  <c r="B238" i="1" s="1"/>
  <c r="B248" i="1" s="1"/>
  <c r="B258" i="1" s="1"/>
  <c r="B268" i="1" s="1"/>
  <c r="B278" i="1" s="1"/>
  <c r="B288" i="1" s="1"/>
  <c r="B298" i="1" s="1"/>
  <c r="B308" i="1" s="1"/>
  <c r="B318" i="1" s="1"/>
  <c r="B328" i="1" s="1"/>
  <c r="B338" i="1" s="1"/>
  <c r="B348" i="1" s="1"/>
  <c r="B358" i="1" s="1"/>
  <c r="B368" i="1" s="1"/>
  <c r="B378" i="1" s="1"/>
  <c r="B388" i="1" s="1"/>
  <c r="B398" i="1" s="1"/>
  <c r="B408" i="1" s="1"/>
  <c r="B418" i="1" s="1"/>
  <c r="B428" i="1" s="1"/>
  <c r="B438" i="1" s="1"/>
  <c r="B448" i="1" s="1"/>
  <c r="B458" i="1" s="1"/>
  <c r="B468" i="1" s="1"/>
  <c r="B478" i="1" s="1"/>
  <c r="B488" i="1" s="1"/>
  <c r="C18" i="1"/>
  <c r="B19" i="1"/>
  <c r="C19" i="1"/>
  <c r="B20" i="1"/>
  <c r="C20" i="1"/>
  <c r="B21" i="1"/>
  <c r="C21" i="1"/>
  <c r="C31" i="1" s="1"/>
  <c r="C41" i="1" s="1"/>
  <c r="C51" i="1" s="1"/>
  <c r="C61" i="1" s="1"/>
  <c r="C71" i="1" s="1"/>
  <c r="C81" i="1" s="1"/>
  <c r="C91" i="1" s="1"/>
  <c r="C101" i="1" s="1"/>
  <c r="C111" i="1" s="1"/>
  <c r="C121" i="1" s="1"/>
  <c r="C131" i="1" s="1"/>
  <c r="C141" i="1" s="1"/>
  <c r="C151" i="1" s="1"/>
  <c r="C161" i="1" s="1"/>
  <c r="C171" i="1" s="1"/>
  <c r="C181" i="1" s="1"/>
  <c r="C191" i="1" s="1"/>
  <c r="C201" i="1" s="1"/>
  <c r="C211" i="1" s="1"/>
  <c r="C221" i="1" s="1"/>
  <c r="C231" i="1" s="1"/>
  <c r="C241" i="1" s="1"/>
  <c r="C251" i="1" s="1"/>
  <c r="C261" i="1" s="1"/>
  <c r="C271" i="1" s="1"/>
  <c r="C281" i="1" s="1"/>
  <c r="C291" i="1" s="1"/>
  <c r="C301" i="1" s="1"/>
  <c r="C311" i="1" s="1"/>
  <c r="C321" i="1" s="1"/>
  <c r="C331" i="1" s="1"/>
  <c r="C341" i="1" s="1"/>
  <c r="C351" i="1" s="1"/>
  <c r="C361" i="1" s="1"/>
  <c r="C371" i="1" s="1"/>
  <c r="C381" i="1" s="1"/>
  <c r="C391" i="1" s="1"/>
  <c r="C401" i="1" s="1"/>
  <c r="C411" i="1" s="1"/>
  <c r="C421" i="1" s="1"/>
  <c r="C431" i="1" s="1"/>
  <c r="C441" i="1" s="1"/>
  <c r="C451" i="1" s="1"/>
  <c r="C461" i="1" s="1"/>
  <c r="C471" i="1" s="1"/>
  <c r="C481" i="1" s="1"/>
  <c r="C491" i="1" s="1"/>
  <c r="B27" i="1"/>
  <c r="C28" i="1"/>
  <c r="C38" i="1" s="1"/>
  <c r="C48" i="1" s="1"/>
  <c r="C58" i="1" s="1"/>
  <c r="C68" i="1" s="1"/>
  <c r="C78" i="1" s="1"/>
  <c r="C88" i="1" s="1"/>
  <c r="C98" i="1" s="1"/>
  <c r="C108" i="1" s="1"/>
  <c r="C118" i="1" s="1"/>
  <c r="C128" i="1" s="1"/>
  <c r="C138" i="1" s="1"/>
  <c r="C148" i="1" s="1"/>
  <c r="C158" i="1" s="1"/>
  <c r="C168" i="1" s="1"/>
  <c r="C178" i="1" s="1"/>
  <c r="C188" i="1" s="1"/>
  <c r="C198" i="1" s="1"/>
  <c r="C208" i="1" s="1"/>
  <c r="C218" i="1" s="1"/>
  <c r="C228" i="1" s="1"/>
  <c r="C238" i="1" s="1"/>
  <c r="C248" i="1" s="1"/>
  <c r="C258" i="1" s="1"/>
  <c r="C268" i="1" s="1"/>
  <c r="C278" i="1" s="1"/>
  <c r="C288" i="1" s="1"/>
  <c r="C298" i="1" s="1"/>
  <c r="C308" i="1" s="1"/>
  <c r="C318" i="1" s="1"/>
  <c r="C328" i="1" s="1"/>
  <c r="C338" i="1" s="1"/>
  <c r="C348" i="1" s="1"/>
  <c r="C358" i="1" s="1"/>
  <c r="C368" i="1" s="1"/>
  <c r="C378" i="1" s="1"/>
  <c r="C388" i="1" s="1"/>
  <c r="C398" i="1" s="1"/>
  <c r="C408" i="1" s="1"/>
  <c r="C418" i="1" s="1"/>
  <c r="C428" i="1" s="1"/>
  <c r="C438" i="1" s="1"/>
  <c r="C448" i="1" s="1"/>
  <c r="C458" i="1" s="1"/>
  <c r="C468" i="1" s="1"/>
  <c r="C478" i="1" s="1"/>
  <c r="C488" i="1" s="1"/>
  <c r="B29" i="1"/>
  <c r="C29" i="1"/>
  <c r="C39" i="1" s="1"/>
  <c r="C49" i="1" s="1"/>
  <c r="C59" i="1" s="1"/>
  <c r="C69" i="1" s="1"/>
  <c r="C79" i="1" s="1"/>
  <c r="C89" i="1" s="1"/>
  <c r="C99" i="1" s="1"/>
  <c r="C109" i="1" s="1"/>
  <c r="C119" i="1" s="1"/>
  <c r="C129" i="1" s="1"/>
  <c r="C139" i="1" s="1"/>
  <c r="C149" i="1" s="1"/>
  <c r="C159" i="1" s="1"/>
  <c r="C169" i="1" s="1"/>
  <c r="C179" i="1" s="1"/>
  <c r="C189" i="1" s="1"/>
  <c r="C199" i="1" s="1"/>
  <c r="C209" i="1" s="1"/>
  <c r="C219" i="1" s="1"/>
  <c r="C229" i="1" s="1"/>
  <c r="C239" i="1" s="1"/>
  <c r="C249" i="1" s="1"/>
  <c r="C259" i="1" s="1"/>
  <c r="C269" i="1" s="1"/>
  <c r="C279" i="1" s="1"/>
  <c r="C289" i="1" s="1"/>
  <c r="C299" i="1" s="1"/>
  <c r="C309" i="1" s="1"/>
  <c r="C319" i="1" s="1"/>
  <c r="C329" i="1" s="1"/>
  <c r="C339" i="1" s="1"/>
  <c r="C349" i="1" s="1"/>
  <c r="C359" i="1" s="1"/>
  <c r="C369" i="1" s="1"/>
  <c r="C379" i="1" s="1"/>
  <c r="C389" i="1" s="1"/>
  <c r="C399" i="1" s="1"/>
  <c r="C409" i="1" s="1"/>
  <c r="C419" i="1" s="1"/>
  <c r="C429" i="1" s="1"/>
  <c r="C439" i="1" s="1"/>
  <c r="C449" i="1" s="1"/>
  <c r="C459" i="1" s="1"/>
  <c r="C469" i="1" s="1"/>
  <c r="C479" i="1" s="1"/>
  <c r="C489" i="1" s="1"/>
  <c r="B30" i="1"/>
  <c r="B40" i="1" s="1"/>
  <c r="B50" i="1" s="1"/>
  <c r="B60" i="1" s="1"/>
  <c r="B70" i="1" s="1"/>
  <c r="B80" i="1" s="1"/>
  <c r="B90" i="1" s="1"/>
  <c r="B100" i="1" s="1"/>
  <c r="B110" i="1" s="1"/>
  <c r="B120" i="1" s="1"/>
  <c r="B130" i="1" s="1"/>
  <c r="B140" i="1" s="1"/>
  <c r="B150" i="1" s="1"/>
  <c r="B160" i="1" s="1"/>
  <c r="B170" i="1" s="1"/>
  <c r="B180" i="1" s="1"/>
  <c r="B190" i="1" s="1"/>
  <c r="B200" i="1" s="1"/>
  <c r="B210" i="1" s="1"/>
  <c r="B220" i="1" s="1"/>
  <c r="B230" i="1" s="1"/>
  <c r="B240" i="1" s="1"/>
  <c r="B250" i="1" s="1"/>
  <c r="B260" i="1" s="1"/>
  <c r="B270" i="1" s="1"/>
  <c r="B280" i="1" s="1"/>
  <c r="B290" i="1" s="1"/>
  <c r="B300" i="1" s="1"/>
  <c r="B310" i="1" s="1"/>
  <c r="B320" i="1" s="1"/>
  <c r="B330" i="1" s="1"/>
  <c r="B340" i="1" s="1"/>
  <c r="B350" i="1" s="1"/>
  <c r="B360" i="1" s="1"/>
  <c r="B370" i="1" s="1"/>
  <c r="B380" i="1" s="1"/>
  <c r="B390" i="1" s="1"/>
  <c r="B400" i="1" s="1"/>
  <c r="B410" i="1" s="1"/>
  <c r="B420" i="1" s="1"/>
  <c r="B430" i="1" s="1"/>
  <c r="B440" i="1" s="1"/>
  <c r="B450" i="1" s="1"/>
  <c r="B460" i="1" s="1"/>
  <c r="B470" i="1" s="1"/>
  <c r="B480" i="1" s="1"/>
  <c r="B490" i="1" s="1"/>
  <c r="C30" i="1"/>
  <c r="C40" i="1" s="1"/>
  <c r="C50" i="1" s="1"/>
  <c r="C60" i="1" s="1"/>
  <c r="C70" i="1" s="1"/>
  <c r="C80" i="1" s="1"/>
  <c r="C90" i="1" s="1"/>
  <c r="C100" i="1" s="1"/>
  <c r="C110" i="1" s="1"/>
  <c r="C120" i="1" s="1"/>
  <c r="C130" i="1" s="1"/>
  <c r="C140" i="1" s="1"/>
  <c r="C150" i="1" s="1"/>
  <c r="C160" i="1" s="1"/>
  <c r="C170" i="1" s="1"/>
  <c r="C180" i="1" s="1"/>
  <c r="C190" i="1" s="1"/>
  <c r="C200" i="1" s="1"/>
  <c r="C210" i="1" s="1"/>
  <c r="C220" i="1" s="1"/>
  <c r="C230" i="1" s="1"/>
  <c r="C240" i="1" s="1"/>
  <c r="C250" i="1" s="1"/>
  <c r="C260" i="1" s="1"/>
  <c r="C270" i="1" s="1"/>
  <c r="C280" i="1" s="1"/>
  <c r="C290" i="1" s="1"/>
  <c r="C300" i="1" s="1"/>
  <c r="C310" i="1" s="1"/>
  <c r="C320" i="1" s="1"/>
  <c r="C330" i="1" s="1"/>
  <c r="C340" i="1" s="1"/>
  <c r="C350" i="1" s="1"/>
  <c r="C360" i="1" s="1"/>
  <c r="C370" i="1" s="1"/>
  <c r="C380" i="1" s="1"/>
  <c r="C390" i="1" s="1"/>
  <c r="C400" i="1" s="1"/>
  <c r="C410" i="1" s="1"/>
  <c r="C420" i="1" s="1"/>
  <c r="C430" i="1" s="1"/>
  <c r="C440" i="1" s="1"/>
  <c r="C450" i="1" s="1"/>
  <c r="C460" i="1" s="1"/>
  <c r="C470" i="1" s="1"/>
  <c r="C480" i="1" s="1"/>
  <c r="C490" i="1" s="1"/>
  <c r="B31" i="1"/>
  <c r="B41" i="1" s="1"/>
  <c r="B51" i="1" s="1"/>
  <c r="B61" i="1" s="1"/>
  <c r="B71" i="1" s="1"/>
  <c r="B81" i="1" s="1"/>
  <c r="B91" i="1" s="1"/>
  <c r="B101" i="1" s="1"/>
  <c r="B111" i="1" s="1"/>
  <c r="B121" i="1" s="1"/>
  <c r="B131" i="1" s="1"/>
  <c r="B141" i="1" s="1"/>
  <c r="B151" i="1" s="1"/>
  <c r="B161" i="1" s="1"/>
  <c r="B171" i="1" s="1"/>
  <c r="B181" i="1" s="1"/>
  <c r="B191" i="1" s="1"/>
  <c r="B201" i="1" s="1"/>
  <c r="B211" i="1" s="1"/>
  <c r="B221" i="1" s="1"/>
  <c r="B231" i="1" s="1"/>
  <c r="B241" i="1" s="1"/>
  <c r="B251" i="1" s="1"/>
  <c r="B261" i="1" s="1"/>
  <c r="B271" i="1" s="1"/>
  <c r="B281" i="1" s="1"/>
  <c r="B291" i="1" s="1"/>
  <c r="B301" i="1" s="1"/>
  <c r="B311" i="1" s="1"/>
  <c r="B321" i="1" s="1"/>
  <c r="B331" i="1" s="1"/>
  <c r="B341" i="1" s="1"/>
  <c r="B351" i="1" s="1"/>
  <c r="B361" i="1" s="1"/>
  <c r="B371" i="1" s="1"/>
  <c r="B381" i="1" s="1"/>
  <c r="B391" i="1" s="1"/>
  <c r="B401" i="1" s="1"/>
  <c r="B411" i="1" s="1"/>
  <c r="B421" i="1" s="1"/>
  <c r="B431" i="1" s="1"/>
  <c r="B441" i="1" s="1"/>
  <c r="B451" i="1" s="1"/>
  <c r="B461" i="1" s="1"/>
  <c r="B471" i="1" s="1"/>
  <c r="B481" i="1" s="1"/>
  <c r="B491" i="1" s="1"/>
  <c r="B37" i="1"/>
  <c r="B47" i="1" s="1"/>
  <c r="B57" i="1" s="1"/>
  <c r="B67" i="1" s="1"/>
  <c r="B77" i="1" s="1"/>
  <c r="B87" i="1" s="1"/>
  <c r="B97" i="1" s="1"/>
  <c r="B107" i="1" s="1"/>
  <c r="B117" i="1" s="1"/>
  <c r="B127" i="1" s="1"/>
  <c r="B137" i="1" s="1"/>
  <c r="B147" i="1" s="1"/>
  <c r="B157" i="1" s="1"/>
  <c r="B167" i="1" s="1"/>
  <c r="B177" i="1" s="1"/>
  <c r="B187" i="1" s="1"/>
  <c r="B197" i="1" s="1"/>
  <c r="B207" i="1" s="1"/>
  <c r="B217" i="1" s="1"/>
  <c r="B227" i="1" s="1"/>
  <c r="B237" i="1" s="1"/>
  <c r="B247" i="1" s="1"/>
  <c r="B257" i="1" s="1"/>
  <c r="B267" i="1" s="1"/>
  <c r="B277" i="1" s="1"/>
  <c r="B287" i="1" s="1"/>
  <c r="B297" i="1" s="1"/>
  <c r="B307" i="1" s="1"/>
  <c r="B317" i="1" s="1"/>
  <c r="B327" i="1" s="1"/>
  <c r="B337" i="1" s="1"/>
  <c r="B347" i="1" s="1"/>
  <c r="B357" i="1" s="1"/>
  <c r="B367" i="1" s="1"/>
  <c r="B377" i="1" s="1"/>
  <c r="B387" i="1" s="1"/>
  <c r="B397" i="1" s="1"/>
  <c r="B407" i="1" s="1"/>
  <c r="B417" i="1" s="1"/>
  <c r="B427" i="1" s="1"/>
  <c r="B437" i="1" s="1"/>
  <c r="B447" i="1" s="1"/>
  <c r="B457" i="1" s="1"/>
  <c r="B467" i="1" s="1"/>
  <c r="B477" i="1" s="1"/>
  <c r="B487" i="1" s="1"/>
  <c r="B39" i="1"/>
  <c r="B49" i="1"/>
  <c r="B59" i="1" s="1"/>
  <c r="B69" i="1" s="1"/>
  <c r="B79" i="1" s="1"/>
  <c r="B89" i="1" s="1"/>
  <c r="B99" i="1" s="1"/>
  <c r="B109" i="1" s="1"/>
  <c r="B119" i="1" s="1"/>
  <c r="B129" i="1" s="1"/>
  <c r="B139" i="1" s="1"/>
  <c r="B149" i="1" s="1"/>
  <c r="B159" i="1" s="1"/>
  <c r="B169" i="1" s="1"/>
  <c r="B179" i="1" s="1"/>
  <c r="B189" i="1" s="1"/>
  <c r="B199" i="1" s="1"/>
  <c r="B209" i="1" s="1"/>
  <c r="B219" i="1" s="1"/>
  <c r="B229" i="1" s="1"/>
  <c r="B239" i="1" s="1"/>
  <c r="B249" i="1" s="1"/>
  <c r="B259" i="1" s="1"/>
  <c r="B269" i="1" s="1"/>
  <c r="B279" i="1" s="1"/>
  <c r="B289" i="1" s="1"/>
  <c r="B299" i="1" s="1"/>
  <c r="B309" i="1" s="1"/>
  <c r="B319" i="1" s="1"/>
  <c r="B329" i="1" s="1"/>
  <c r="B339" i="1" s="1"/>
  <c r="B349" i="1" s="1"/>
  <c r="B359" i="1" s="1"/>
  <c r="B369" i="1" s="1"/>
  <c r="B379" i="1" s="1"/>
  <c r="B389" i="1" s="1"/>
  <c r="B399" i="1" s="1"/>
  <c r="B409" i="1" s="1"/>
  <c r="B419" i="1" s="1"/>
  <c r="B429" i="1" s="1"/>
  <c r="B439" i="1" s="1"/>
  <c r="B449" i="1" s="1"/>
  <c r="B459" i="1" s="1"/>
  <c r="B469" i="1" s="1"/>
  <c r="B479" i="1" s="1"/>
  <c r="B489" i="1" s="1"/>
  <c r="C12" i="1"/>
  <c r="C22" i="1" s="1"/>
  <c r="C32" i="1" s="1"/>
  <c r="C42" i="1" s="1"/>
  <c r="C52" i="1" s="1"/>
  <c r="C62" i="1" s="1"/>
  <c r="C72" i="1" s="1"/>
  <c r="C82" i="1" s="1"/>
  <c r="C92" i="1" s="1"/>
  <c r="C102" i="1" s="1"/>
  <c r="C112" i="1" s="1"/>
  <c r="C122" i="1" s="1"/>
  <c r="C132" i="1" s="1"/>
  <c r="C142" i="1" s="1"/>
  <c r="C152" i="1" s="1"/>
  <c r="C162" i="1" s="1"/>
  <c r="C172" i="1" s="1"/>
  <c r="C182" i="1" s="1"/>
  <c r="C192" i="1" s="1"/>
  <c r="C202" i="1" s="1"/>
  <c r="C212" i="1" s="1"/>
  <c r="C222" i="1" s="1"/>
  <c r="C232" i="1" s="1"/>
  <c r="C242" i="1" s="1"/>
  <c r="C252" i="1" s="1"/>
  <c r="C262" i="1" s="1"/>
  <c r="C272" i="1" s="1"/>
  <c r="C282" i="1" s="1"/>
  <c r="C292" i="1" s="1"/>
  <c r="B12" i="1"/>
  <c r="B22" i="1" s="1"/>
  <c r="B32" i="1" s="1"/>
  <c r="B42" i="1" s="1"/>
  <c r="C26" i="1" l="1"/>
  <c r="C36" i="1" s="1"/>
  <c r="C46" i="1" s="1"/>
  <c r="C56" i="1" s="1"/>
  <c r="C66" i="1" s="1"/>
  <c r="C76" i="1" s="1"/>
  <c r="C86" i="1" s="1"/>
  <c r="C96" i="1" s="1"/>
  <c r="C106" i="1" s="1"/>
  <c r="C116" i="1" s="1"/>
  <c r="C126" i="1" s="1"/>
  <c r="C136" i="1" s="1"/>
  <c r="C146" i="1" s="1"/>
  <c r="C156" i="1" s="1"/>
  <c r="C166" i="1" s="1"/>
  <c r="C176" i="1" s="1"/>
  <c r="C186" i="1" s="1"/>
  <c r="C196" i="1" s="1"/>
  <c r="C206" i="1" s="1"/>
  <c r="C216" i="1" s="1"/>
  <c r="C226" i="1" s="1"/>
  <c r="C236" i="1" s="1"/>
  <c r="C246" i="1" s="1"/>
  <c r="C256" i="1" s="1"/>
  <c r="C266" i="1" s="1"/>
  <c r="C276" i="1" s="1"/>
  <c r="C286" i="1" s="1"/>
  <c r="C296" i="1" s="1"/>
  <c r="C306" i="1" s="1"/>
  <c r="C316" i="1" s="1"/>
  <c r="C326" i="1" s="1"/>
  <c r="C336" i="1" s="1"/>
  <c r="C346" i="1" s="1"/>
  <c r="C356" i="1" s="1"/>
  <c r="C366" i="1" s="1"/>
  <c r="C376" i="1" s="1"/>
  <c r="C386" i="1" s="1"/>
  <c r="C396" i="1" s="1"/>
  <c r="C406" i="1" s="1"/>
  <c r="C416" i="1" s="1"/>
  <c r="C426" i="1" s="1"/>
  <c r="C436" i="1" s="1"/>
  <c r="C446" i="1" s="1"/>
  <c r="C456" i="1" s="1"/>
  <c r="C466" i="1" s="1"/>
  <c r="C476" i="1" s="1"/>
  <c r="C486" i="1" s="1"/>
  <c r="B26" i="1"/>
  <c r="B36" i="1" s="1"/>
  <c r="B46" i="1" s="1"/>
  <c r="B56" i="1" s="1"/>
  <c r="B66" i="1" s="1"/>
  <c r="B76" i="1" s="1"/>
  <c r="B86" i="1" s="1"/>
  <c r="B96" i="1" s="1"/>
  <c r="B106" i="1" s="1"/>
  <c r="B116" i="1" s="1"/>
  <c r="B126" i="1" s="1"/>
  <c r="B136" i="1" s="1"/>
  <c r="B146" i="1" s="1"/>
  <c r="B156" i="1" s="1"/>
  <c r="B166" i="1" s="1"/>
  <c r="B176" i="1" s="1"/>
  <c r="B186" i="1" s="1"/>
  <c r="B196" i="1" s="1"/>
  <c r="B206" i="1" s="1"/>
  <c r="B216" i="1" s="1"/>
  <c r="B226" i="1" s="1"/>
  <c r="B236" i="1" s="1"/>
  <c r="B246" i="1" s="1"/>
  <c r="B256" i="1" s="1"/>
  <c r="B266" i="1" s="1"/>
  <c r="B276" i="1" s="1"/>
  <c r="B286" i="1" s="1"/>
  <c r="B296" i="1" s="1"/>
  <c r="B306" i="1" s="1"/>
  <c r="B316" i="1" s="1"/>
  <c r="B326" i="1" s="1"/>
  <c r="B336" i="1" s="1"/>
  <c r="B346" i="1" s="1"/>
  <c r="B356" i="1" s="1"/>
  <c r="B366" i="1" s="1"/>
  <c r="B376" i="1" s="1"/>
  <c r="B386" i="1" s="1"/>
  <c r="B396" i="1" s="1"/>
  <c r="B406" i="1" s="1"/>
  <c r="B416" i="1" s="1"/>
  <c r="B426" i="1" s="1"/>
  <c r="B436" i="1" s="1"/>
  <c r="B446" i="1" s="1"/>
  <c r="B456" i="1" s="1"/>
  <c r="B466" i="1" s="1"/>
  <c r="B476" i="1" s="1"/>
  <c r="B486" i="1" s="1"/>
  <c r="J6" i="1"/>
  <c r="I6" i="1"/>
  <c r="H5" i="1"/>
  <c r="J5" i="1"/>
  <c r="I5" i="1"/>
  <c r="I4" i="1"/>
  <c r="H4" i="1"/>
  <c r="B52" i="1"/>
  <c r="I3" i="1"/>
  <c r="H3" i="1"/>
  <c r="J3" i="1"/>
  <c r="C302" i="1"/>
  <c r="H6" i="1" l="1"/>
  <c r="J4" i="1"/>
  <c r="I7" i="1"/>
  <c r="J7" i="1"/>
  <c r="H7" i="1"/>
  <c r="B62" i="1"/>
  <c r="C312" i="1"/>
  <c r="H8" i="1" l="1"/>
  <c r="B72" i="1"/>
  <c r="J8" i="1"/>
  <c r="I8" i="1"/>
  <c r="C322" i="1"/>
  <c r="J9" i="1" l="1"/>
  <c r="B82" i="1"/>
  <c r="H9" i="1"/>
  <c r="I9" i="1"/>
  <c r="C332" i="1"/>
  <c r="H10" i="1" l="1"/>
  <c r="I10" i="1"/>
  <c r="J10" i="1"/>
  <c r="B92" i="1"/>
  <c r="C342" i="1"/>
  <c r="H11" i="1" l="1"/>
  <c r="J11" i="1"/>
  <c r="B102" i="1"/>
  <c r="I11" i="1"/>
  <c r="C352" i="1"/>
  <c r="H12" i="1" l="1"/>
  <c r="J12" i="1"/>
  <c r="B112" i="1"/>
  <c r="I12" i="1"/>
  <c r="C362" i="1"/>
  <c r="H13" i="1" l="1"/>
  <c r="J13" i="1"/>
  <c r="B122" i="1"/>
  <c r="I13" i="1"/>
  <c r="C372" i="1"/>
  <c r="I14" i="1" l="1"/>
  <c r="H14" i="1"/>
  <c r="B132" i="1"/>
  <c r="J14" i="1"/>
  <c r="C382" i="1"/>
  <c r="H15" i="1" l="1"/>
  <c r="I15" i="1"/>
  <c r="J15" i="1"/>
  <c r="B142" i="1"/>
  <c r="C392" i="1"/>
  <c r="J16" i="1" l="1"/>
  <c r="I16" i="1"/>
  <c r="B152" i="1"/>
  <c r="H16" i="1"/>
  <c r="C402" i="1"/>
  <c r="I17" i="1" l="1"/>
  <c r="B162" i="1"/>
  <c r="J17" i="1"/>
  <c r="H17" i="1"/>
  <c r="C412" i="1"/>
  <c r="J18" i="1" l="1"/>
  <c r="I18" i="1"/>
  <c r="H18" i="1"/>
  <c r="B172" i="1"/>
  <c r="C422" i="1"/>
  <c r="J19" i="1" l="1"/>
  <c r="I19" i="1"/>
  <c r="B182" i="1"/>
  <c r="H19" i="1"/>
  <c r="C432" i="1"/>
  <c r="J20" i="1" l="1"/>
  <c r="I20" i="1"/>
  <c r="B192" i="1"/>
  <c r="H20" i="1"/>
  <c r="C442" i="1"/>
  <c r="I21" i="1" l="1"/>
  <c r="J21" i="1"/>
  <c r="B202" i="1"/>
  <c r="H21" i="1"/>
  <c r="C452" i="1"/>
  <c r="H22" i="1" l="1"/>
  <c r="I22" i="1"/>
  <c r="J22" i="1"/>
  <c r="B212" i="1"/>
  <c r="C462" i="1"/>
  <c r="J23" i="1" l="1"/>
  <c r="B222" i="1"/>
  <c r="I23" i="1"/>
  <c r="H23" i="1"/>
  <c r="C472" i="1"/>
  <c r="I24" i="1" l="1"/>
  <c r="H24" i="1"/>
  <c r="J24" i="1"/>
  <c r="B232" i="1"/>
  <c r="C482" i="1"/>
  <c r="H25" i="1" l="1"/>
  <c r="J25" i="1"/>
  <c r="I25" i="1"/>
  <c r="B242" i="1"/>
  <c r="J26" i="1" l="1"/>
  <c r="H26" i="1"/>
  <c r="B252" i="1"/>
  <c r="I26" i="1"/>
  <c r="I27" i="1" l="1"/>
  <c r="H27" i="1"/>
  <c r="J27" i="1"/>
  <c r="B262" i="1"/>
  <c r="H28" i="1" l="1"/>
  <c r="J28" i="1"/>
  <c r="I28" i="1"/>
  <c r="B272" i="1"/>
  <c r="J29" i="1" l="1"/>
  <c r="I29" i="1"/>
  <c r="H29" i="1"/>
  <c r="B282" i="1"/>
  <c r="I30" i="1" l="1"/>
  <c r="H30" i="1"/>
  <c r="B292" i="1"/>
  <c r="J30" i="1"/>
  <c r="J31" i="1" l="1"/>
  <c r="H31" i="1"/>
  <c r="I31" i="1"/>
  <c r="B302" i="1"/>
  <c r="H32" i="1" l="1"/>
  <c r="J32" i="1"/>
  <c r="B312" i="1"/>
  <c r="I32" i="1"/>
  <c r="I33" i="1" l="1"/>
  <c r="B322" i="1"/>
  <c r="H33" i="1"/>
  <c r="J33" i="1"/>
  <c r="I34" i="1" l="1"/>
  <c r="B332" i="1"/>
  <c r="H34" i="1"/>
  <c r="J34" i="1"/>
  <c r="H35" i="1" l="1"/>
  <c r="I35" i="1"/>
  <c r="B342" i="1"/>
  <c r="J35" i="1"/>
  <c r="J36" i="1" l="1"/>
  <c r="I36" i="1"/>
  <c r="H36" i="1"/>
  <c r="B352" i="1"/>
  <c r="I37" i="1" l="1"/>
  <c r="J37" i="1"/>
  <c r="H37" i="1"/>
  <c r="B362" i="1"/>
  <c r="I38" i="1" l="1"/>
  <c r="H38" i="1"/>
  <c r="J38" i="1"/>
  <c r="B372" i="1"/>
  <c r="J39" i="1" l="1"/>
  <c r="H39" i="1"/>
  <c r="B382" i="1"/>
  <c r="I39" i="1"/>
  <c r="H40" i="1" l="1"/>
  <c r="J40" i="1"/>
  <c r="B392" i="1"/>
  <c r="I40" i="1"/>
  <c r="I41" i="1" l="1"/>
  <c r="J41" i="1"/>
  <c r="H41" i="1"/>
  <c r="B402" i="1"/>
  <c r="H42" i="1" l="1"/>
  <c r="I42" i="1"/>
  <c r="J42" i="1"/>
  <c r="B412" i="1"/>
  <c r="J43" i="1" l="1"/>
  <c r="B422" i="1"/>
  <c r="I43" i="1"/>
  <c r="H43" i="1"/>
  <c r="I44" i="1" l="1"/>
  <c r="J44" i="1"/>
  <c r="H44" i="1"/>
  <c r="B432" i="1"/>
  <c r="H45" i="1" l="1"/>
  <c r="J45" i="1"/>
  <c r="B442" i="1"/>
  <c r="I45" i="1"/>
  <c r="J46" i="1" l="1"/>
  <c r="H46" i="1"/>
  <c r="B452" i="1"/>
  <c r="I46" i="1"/>
  <c r="I47" i="1" l="1"/>
  <c r="H47" i="1"/>
  <c r="J47" i="1"/>
  <c r="B462" i="1"/>
  <c r="I48" i="1" l="1"/>
  <c r="H48" i="1"/>
  <c r="B472" i="1"/>
  <c r="J48" i="1"/>
  <c r="J49" i="1" l="1"/>
  <c r="H49" i="1"/>
  <c r="I49" i="1"/>
  <c r="B482" i="1"/>
  <c r="N12" i="1" l="1" a="1"/>
  <c r="N12" i="1" s="1"/>
  <c r="Q5" i="1" a="1"/>
  <c r="Q5" i="1" s="1"/>
  <c r="N5" i="1" a="1"/>
  <c r="N5" i="1" s="1"/>
  <c r="Q12" i="1" a="1"/>
  <c r="Q12" i="1" s="1"/>
  <c r="O12" i="1" a="1"/>
  <c r="O12" i="1" s="1"/>
  <c r="P5" i="1" a="1"/>
  <c r="P5" i="1" s="1"/>
  <c r="P12" i="1" a="1"/>
  <c r="P12" i="1" s="1"/>
  <c r="O5" i="1" a="1"/>
  <c r="O5" i="1" s="1"/>
  <c r="M12" i="1" a="1"/>
  <c r="M12" i="1" s="1"/>
  <c r="M5" i="1" a="1"/>
  <c r="M5" i="1" s="1"/>
  <c r="N3" i="1"/>
  <c r="O3" i="1"/>
  <c r="Q4" i="1"/>
  <c r="M3" i="1"/>
  <c r="N10" i="1"/>
  <c r="Q11" i="1"/>
  <c r="Q3" i="1"/>
  <c r="O11" i="1"/>
  <c r="N11" i="1"/>
  <c r="P10" i="1"/>
  <c r="N4" i="1"/>
  <c r="O4" i="1"/>
  <c r="P11" i="1"/>
  <c r="P3" i="1"/>
  <c r="O10" i="1"/>
  <c r="M10" i="1"/>
  <c r="M4" i="1"/>
  <c r="Q10" i="1"/>
  <c r="M11" i="1"/>
  <c r="P4" i="1"/>
  <c r="J50" i="1"/>
  <c r="J53" i="1" s="1"/>
  <c r="H50" i="1"/>
  <c r="I50" i="1"/>
  <c r="I53" i="1" s="1"/>
  <c r="H54" i="1" l="1"/>
  <c r="H53" i="1"/>
  <c r="J54" i="1"/>
  <c r="I54" i="1"/>
  <c r="H51" i="1"/>
  <c r="H52" i="1"/>
  <c r="I51" i="1"/>
  <c r="I52" i="1"/>
  <c r="J51" i="1"/>
  <c r="J5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<sst xmlns="http://schemas.openxmlformats.org/spreadsheetml/2006/main" count="189" uniqueCount="133">
  <si>
    <t>Client Number</t>
  </si>
  <si>
    <t>Distress Check</t>
  </si>
  <si>
    <t>Writing Reflection</t>
  </si>
  <si>
    <t>Avoids Processing</t>
  </si>
  <si>
    <t>Relevance</t>
  </si>
  <si>
    <t>Appropriateness</t>
  </si>
  <si>
    <t>Type</t>
  </si>
  <si>
    <t>AI</t>
  </si>
  <si>
    <t>Therapist</t>
  </si>
  <si>
    <t>Rubric Category</t>
  </si>
  <si>
    <t>Score</t>
  </si>
  <si>
    <t>Hypothesis 1</t>
  </si>
  <si>
    <t>Hypothesis 2</t>
  </si>
  <si>
    <t>Hypothesis 3</t>
  </si>
  <si>
    <t>...</t>
  </si>
  <si>
    <t>(Repeated for all 10 rows you shared.)</t>
  </si>
  <si>
    <t>Combined Data</t>
  </si>
  <si>
    <t>Notes</t>
  </si>
  <si>
    <t>Asked to read the writing aloud</t>
  </si>
  <si>
    <t>Focus on diagnosis. Incorrect recall of events.</t>
  </si>
  <si>
    <t>Focus on diagnosis.</t>
  </si>
  <si>
    <t>Recaps anxiety.</t>
  </si>
  <si>
    <t>Open-ended to further process content. No explicit guidance.</t>
  </si>
  <si>
    <t>Recaps some anxiety.</t>
  </si>
  <si>
    <t>Focused on state of patient and writing throughout.</t>
  </si>
  <si>
    <t>Not specific enough for a 5</t>
  </si>
  <si>
    <t>Included a note to itself. Feels out of place.</t>
  </si>
  <si>
    <t>Questions reality of event. Reiterates exact anxieties.</t>
  </si>
  <si>
    <t>Tries to initiate another run with interruptions.</t>
  </si>
  <si>
    <t>Invites writing using their experience.</t>
  </si>
  <si>
    <t xml:space="preserve">Open-ended could lead to processing content in conversation. </t>
  </si>
  <si>
    <t>Does not reframe, interpret, or give explicit advice for handling their experience. No analysis of the content.</t>
  </si>
  <si>
    <t>Maintain a thoughtful, sensitive, and supportive tone. Do not attempt to clarify their pain, anxiety, or other trauma related feelings.</t>
  </si>
  <si>
    <t>Focus on expressive writing, its impact, and how to be effective at it. Stick to the regimen and instructions as feasible. Do not assign homework or other exercises.</t>
  </si>
  <si>
    <t>Check-in on their emotional state. Tone and nuance matters here. Note any changes and their reflection.</t>
  </si>
  <si>
    <t>Encourage reflection in writing: include trauma related feelings, impact, perspective, and other details. Gently touch on the details provided and guide the focus of the writing.</t>
  </si>
  <si>
    <t>Top Score Criteria</t>
  </si>
  <si>
    <t>Less writing focus. Relevant response, but odd note on "meaningful process"</t>
  </si>
  <si>
    <t>Strong understanding, does not focus on continued writing.</t>
  </si>
  <si>
    <t>Strong, not detailed enough for 5.</t>
  </si>
  <si>
    <t>On topic, but asks patient to define role of therapist. Follow instructions.</t>
  </si>
  <si>
    <t>Open ended question of writing preferences. Potential for conversational processing.</t>
  </si>
  <si>
    <t>Appropro response. Questions could leave process up to patient. Follow instructions more closely.</t>
  </si>
  <si>
    <t>Noted level during writing. No followup.</t>
  </si>
  <si>
    <t>Began analysis of content.</t>
  </si>
  <si>
    <t>Avoided reiterating all the trauma related emotions.</t>
  </si>
  <si>
    <t>Does not focus on writing process.</t>
  </si>
  <si>
    <t>Good detail. Does not focus the writing or clarify it for next session.</t>
  </si>
  <si>
    <t>Checks on comfort in moving forward.</t>
  </si>
  <si>
    <t>Stronger by not focusing on negative feelings.</t>
  </si>
  <si>
    <t>Briefly reiterates negative emotions as if clarifying.</t>
  </si>
  <si>
    <t>Lots of detail. Clarifying statements for writing.</t>
  </si>
  <si>
    <t>Would like a direct mention of 'writing' for a 5.</t>
  </si>
  <si>
    <t>Good detail. Lacks focus.</t>
  </si>
  <si>
    <t>Very much opens the door to processing in conversation.</t>
  </si>
  <si>
    <t xml:space="preserve">Very supportive, but should allow patient to lead. </t>
  </si>
  <si>
    <t>Less about writing. Seems geared toward processing.</t>
  </si>
  <si>
    <t>Geared toward writing, but not explicitly stated.</t>
  </si>
  <si>
    <t>Finally a check-in on emotional state.</t>
  </si>
  <si>
    <t>Distress check overlaps with some level of processing.</t>
  </si>
  <si>
    <t>Asking the patient to reread is new and not in the instructions. No guidance on writing. Unsure if this is good.</t>
  </si>
  <si>
    <t>Sensitive tone, but too on the nose with recounting traumatic events.</t>
  </si>
  <si>
    <t>Opens the door to dialogue.</t>
  </si>
  <si>
    <t>Again, overlap with processing and emotional state check. This lowers the score for both.</t>
  </si>
  <si>
    <t>Good encouragement and focus. Lack of detail for 5.</t>
  </si>
  <si>
    <t>Good patient led processing in writing.</t>
  </si>
  <si>
    <t>Odd branching giving two responses depending on reaction. (like think, but it is turned off. Other entries had the &lt;/think&gt; tag in it…</t>
  </si>
  <si>
    <t>Too much validation and maybe hallucination.</t>
  </si>
  <si>
    <t>Would like it to state that follow-up should consist of writing. May or may not be implied.</t>
  </si>
  <si>
    <t>Longest therapist response by far. Over indulges on clarifying, lowering processing and appropriateness scores, yet raising writing and relevance.</t>
  </si>
  <si>
    <t>Questions reality of it (sex trafficking acccount). Later calls it fictional.</t>
  </si>
  <si>
    <t>Encourages more writing.</t>
  </si>
  <si>
    <t>Opens a door to processing in conversaiton.</t>
  </si>
  <si>
    <t>Points out that they are talking to an AI in a kind of belttling way. "brave to tell this, even with me, an AI"</t>
  </si>
  <si>
    <t>Cursory check-in at the end.</t>
  </si>
  <si>
    <t>Good focus and details.</t>
  </si>
  <si>
    <t>Begins framing the content.</t>
  </si>
  <si>
    <t>Good focus and clarification.</t>
  </si>
  <si>
    <t>Focuses on traumatic details, losing some sensitivity.</t>
  </si>
  <si>
    <t>Avoided most of the diagnosis and negative emotion breakdown.</t>
  </si>
  <si>
    <t>Calls out that it is an AI.</t>
  </si>
  <si>
    <t>Emphasizes that the client may need to pause for a break.</t>
  </si>
  <si>
    <t>Patient focused processing.</t>
  </si>
  <si>
    <t>No details, but good focus.</t>
  </si>
  <si>
    <t>Emotional writing contradicting no interpretation by client. Almost like it's included a note to self, but gives it to the client.</t>
  </si>
  <si>
    <t>Asks questions to guide future processing in writing.</t>
  </si>
  <si>
    <t>Should debrief or frame as if the writing session is beginning. Treats it more like a conversation that is taking place over writing.</t>
  </si>
  <si>
    <t>Conversation in writing problem.</t>
  </si>
  <si>
    <t>Opens door for processing in conversation.</t>
  </si>
  <si>
    <t>Changes instructions to have patient read their work aloud.</t>
  </si>
  <si>
    <t>AI seems lost "While your story doesn't explicitly ask for advice"</t>
  </si>
  <si>
    <t>Supportive, but generic</t>
  </si>
  <si>
    <t>Again, attempts to change up instructions.</t>
  </si>
  <si>
    <t>Calls the story fictional immediately.</t>
  </si>
  <si>
    <t>A little generic.</t>
  </si>
  <si>
    <t>A little generic, but includes before/after comparison.</t>
  </si>
  <si>
    <t>Total</t>
  </si>
  <si>
    <t>Std Dev</t>
  </si>
  <si>
    <t>Variance</t>
  </si>
  <si>
    <t>Average (μ)</t>
  </si>
  <si>
    <t>DC</t>
  </si>
  <si>
    <t>WR</t>
  </si>
  <si>
    <t>AP</t>
  </si>
  <si>
    <t>A</t>
  </si>
  <si>
    <t>R</t>
  </si>
  <si>
    <t>AI (Default)</t>
  </si>
  <si>
    <t>Low</t>
  </si>
  <si>
    <t>High</t>
  </si>
  <si>
    <t>129 = 1.2</t>
  </si>
  <si>
    <t>85 = 3.33</t>
  </si>
  <si>
    <t>3 = 0.5</t>
  </si>
  <si>
    <t>{4, 25,31, 33, 34, 42, 45, 66, 92, 97, 116, 120, 124} = 5</t>
  </si>
  <si>
    <t>88 = 3</t>
  </si>
  <si>
    <t>18 = 0.875</t>
  </si>
  <si>
    <t>Mean Case</t>
  </si>
  <si>
    <t>87 = 1.75</t>
  </si>
  <si>
    <t>87 = 3</t>
  </si>
  <si>
    <t>87 = 1.6</t>
  </si>
  <si>
    <t>96 = 2</t>
  </si>
  <si>
    <t>96 = 3</t>
  </si>
  <si>
    <t>96 = 1.75</t>
  </si>
  <si>
    <t>126 = 2</t>
  </si>
  <si>
    <t>126 = 3</t>
  </si>
  <si>
    <t>126 = 1.75</t>
  </si>
  <si>
    <t>28 = 1.8</t>
  </si>
  <si>
    <t>28 = 3</t>
  </si>
  <si>
    <t>28 = 1.11</t>
  </si>
  <si>
    <t>Overall</t>
  </si>
  <si>
    <t>Therapist AI</t>
  </si>
  <si>
    <t>DC+WR</t>
  </si>
  <si>
    <t>A+R</t>
  </si>
  <si>
    <t>AI (Default) Distribution</t>
  </si>
  <si>
    <t>Therapist Distribution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</si>
</sst>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sz val="5"/>
      <color theme="1"/>
      <name val="Segoe UI"/>
      <family val="2"/>
    </font>
    <font>
      <sz val="10"/>
      <color theme="1"/>
      <name val="Arial Unicode MS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3" fillId="0" borderId="0" xfId="0" applyFont="1"/>
    <xf numFmtId="0" fontId="3" fillId="0" borderId="1" xfId="0" applyFont="1" applyBorder="1" applyAlignment="1">
      <alignment horizontal="center" vertical="top"/>
    </xf>
    <xf numFmtId="0" fontId="0" fillId="2" borderId="0" xfId="0" applyFill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1B4CC-CF66-4873-BCC8-2B99EC30087D}">
  <dimension ref="A1:AB491"/>
  <sheetViews>
    <sheetView tabSelected="1" topLeftCell="H1" zoomScale="110" zoomScaleNormal="110" workbookViewId="0">
      <selection activeCell="AE18" sqref="AE18"/>
    </sheetView>
  </sheetViews>
  <sheetFormatPr defaultRowHeight="14.25"/>
  <cols>
    <col min="1" max="1" width="12.06640625" bestFit="1" customWidth="1"/>
    <col min="3" max="3" width="14.796875" bestFit="1" customWidth="1"/>
    <col min="4" max="4" width="14.6640625" bestFit="1" customWidth="1"/>
    <col min="5" max="5" width="14.796875" bestFit="1" customWidth="1"/>
    <col min="6" max="6" width="13.59765625" bestFit="1" customWidth="1"/>
    <col min="7" max="7" width="12.06640625" bestFit="1" customWidth="1"/>
    <col min="8" max="8" width="15.1328125" bestFit="1" customWidth="1"/>
    <col min="9" max="9" width="12.6640625" bestFit="1" customWidth="1"/>
    <col min="10" max="10" width="9.1328125" bestFit="1" customWidth="1"/>
    <col min="11" max="11" width="15.06640625" bestFit="1" customWidth="1"/>
    <col min="12" max="12" width="9.86328125" bestFit="1" customWidth="1"/>
  </cols>
  <sheetData>
    <row r="1" spans="1:17">
      <c r="A1" t="s">
        <v>0</v>
      </c>
      <c r="B1" t="s">
        <v>6</v>
      </c>
      <c r="C1" t="s">
        <v>9</v>
      </c>
      <c r="D1" t="s">
        <v>10</v>
      </c>
      <c r="E1" t="s">
        <v>17</v>
      </c>
      <c r="F1" t="s">
        <v>36</v>
      </c>
      <c r="G1" t="s">
        <v>0</v>
      </c>
      <c r="H1" t="s">
        <v>11</v>
      </c>
      <c r="I1" t="s">
        <v>12</v>
      </c>
      <c r="J1" t="s">
        <v>13</v>
      </c>
      <c r="L1" s="7" t="s">
        <v>105</v>
      </c>
      <c r="M1" s="7"/>
      <c r="N1" s="7"/>
      <c r="O1" s="7"/>
      <c r="P1" s="7"/>
      <c r="Q1" s="7"/>
    </row>
    <row r="2" spans="1:17">
      <c r="A2">
        <v>3</v>
      </c>
      <c r="B2" t="s">
        <v>7</v>
      </c>
      <c r="C2" t="s">
        <v>1</v>
      </c>
      <c r="D2">
        <v>2</v>
      </c>
      <c r="F2" s="4" t="s">
        <v>1</v>
      </c>
      <c r="G2" s="2">
        <v>3</v>
      </c>
      <c r="H2">
        <f t="shared" ref="H2:H33" si="0">(SUMIFS($D:$D,$A:$A,$G2,$B:$B,"Therapist",$C:$C,"Distress Check")+SUMIFS($D:$D,$A:$A,$G2,$B:$B,"Therapist",$C:$C,"Writing Reflection"))/(SUMIFS($D:$D,$A:$A,$G2,$B:$B,"AI",$C:$C,"Distress Check")+SUMIFS($D:$D,$A:$A,$G2,$B:$B,"AI",$C:$C,"Writing Reflection"))</f>
        <v>1.6</v>
      </c>
      <c r="I2">
        <f t="shared" ref="I2:I33" si="1">(SUMIFS($D:$D,$A:$A,$G2,$B:$B,"Therapist",$C:$C,"Avoids Processing"))/(SUMIFS($D:$D,$A:$A,$G2,$B:$B,"AI",$C:$C,"Avoids Processing"))</f>
        <v>0.5</v>
      </c>
      <c r="J2">
        <f t="shared" ref="J2:J33" si="2">(SUMIFS($D:$D,$A:$A,$G2,$B:$B,"Therapist",$C:$C,"Appropriateness")+SUMIFS($D:$D,$A:$A,$G2,$B:$B,"Therapist",$C:$C,"Relevance"))/(SUMIFS($D:$D,$A:$A,$G2,$B:$B,"AI",$C:$C,"Appropriateness")+SUMIFS($D:$D,$A:$A,$G2,$B:$B,"AI",$C:$C,"Relevance"))</f>
        <v>1.125</v>
      </c>
      <c r="M2" t="s">
        <v>100</v>
      </c>
      <c r="N2" t="s">
        <v>101</v>
      </c>
      <c r="O2" t="s">
        <v>102</v>
      </c>
      <c r="P2" t="s">
        <v>103</v>
      </c>
      <c r="Q2" t="s">
        <v>104</v>
      </c>
    </row>
    <row r="3" spans="1:17">
      <c r="A3">
        <v>3</v>
      </c>
      <c r="B3" t="s">
        <v>7</v>
      </c>
      <c r="C3" t="s">
        <v>2</v>
      </c>
      <c r="D3">
        <v>3</v>
      </c>
      <c r="F3" t="s">
        <v>34</v>
      </c>
      <c r="G3" s="2">
        <v>4</v>
      </c>
      <c r="H3">
        <f t="shared" si="0"/>
        <v>1.6</v>
      </c>
      <c r="I3">
        <f t="shared" si="1"/>
        <v>5</v>
      </c>
      <c r="J3">
        <f t="shared" si="2"/>
        <v>1.1111111111111112</v>
      </c>
      <c r="L3" s="2" t="s">
        <v>96</v>
      </c>
      <c r="M3">
        <f>(SUMIFS($D:$D,$B:$B,"AI",$C:$C,"Distress Check"))</f>
        <v>90</v>
      </c>
      <c r="N3">
        <f>(SUMIFS($D:$D,$B:$B,"AI",$C:$C,"Writing Reflection"))</f>
        <v>113</v>
      </c>
      <c r="O3">
        <f>(SUMIFS($D:$D,$B:$B,"AI",$C:$C,"Avoids Processing"))</f>
        <v>52</v>
      </c>
      <c r="P3">
        <f>(SUMIFS($D:$D,$B:$B,"AI",$C:$C,"Appropriateness"))</f>
        <v>121</v>
      </c>
      <c r="Q3">
        <f>(SUMIFS($D:$D,$B:$B,"AI",$C:$C,"Relevance"))</f>
        <v>122</v>
      </c>
    </row>
    <row r="4" spans="1:17">
      <c r="A4">
        <v>3</v>
      </c>
      <c r="B4" t="s">
        <v>7</v>
      </c>
      <c r="C4" t="s">
        <v>3</v>
      </c>
      <c r="D4">
        <v>2</v>
      </c>
      <c r="F4" s="4" t="s">
        <v>2</v>
      </c>
      <c r="G4" s="2">
        <v>16</v>
      </c>
      <c r="H4">
        <f t="shared" si="0"/>
        <v>1.5</v>
      </c>
      <c r="I4">
        <f t="shared" si="1"/>
        <v>4</v>
      </c>
      <c r="J4">
        <f t="shared" si="2"/>
        <v>1</v>
      </c>
      <c r="L4" t="s">
        <v>99</v>
      </c>
      <c r="M4">
        <f>(AVERAGEIFS($D:$D,$B:$B,"AI",$C:$C,"Distress Check"))</f>
        <v>1.8367346938775511</v>
      </c>
      <c r="N4">
        <f>(AVERAGEIFS($D:$D,$B:$B,"AI",$C:$C,"Writing Reflection"))</f>
        <v>2.306122448979592</v>
      </c>
      <c r="O4">
        <f>(AVERAGEIFS($D:$D,$B:$B,"AI",$C:$C,"Avoids Processing"))</f>
        <v>1.0612244897959184</v>
      </c>
      <c r="P4">
        <f>(AVERAGEIFS($D:$D,$B:$B,"AI",$C:$C,"Appropriateness"))</f>
        <v>2.4693877551020407</v>
      </c>
      <c r="Q4">
        <f>(AVERAGEIFS($D:$D,$B:$B,"AI",$C:$C,"Relevance"))</f>
        <v>2.489795918367347</v>
      </c>
    </row>
    <row r="5" spans="1:17">
      <c r="A5">
        <v>3</v>
      </c>
      <c r="B5" t="s">
        <v>7</v>
      </c>
      <c r="C5" t="s">
        <v>5</v>
      </c>
      <c r="D5">
        <v>3</v>
      </c>
      <c r="F5" t="s">
        <v>35</v>
      </c>
      <c r="G5" s="2">
        <v>17</v>
      </c>
      <c r="H5">
        <f t="shared" si="0"/>
        <v>1.6666666666666667</v>
      </c>
      <c r="I5">
        <f t="shared" si="1"/>
        <v>2</v>
      </c>
      <c r="J5">
        <f t="shared" si="2"/>
        <v>2</v>
      </c>
      <c r="L5" t="s">
        <v>97</v>
      </c>
      <c r="M5" cm="1">
        <f t="array" ref="M5">(_xlfn.STDEV.S(IF(($B:$B="AI")*($C:$C="Distress Check"),$D:$D)))</f>
        <v>0.6240639248610077</v>
      </c>
      <c r="N5" cm="1">
        <f t="array" ref="N5">(_xlfn.STDEV.S(IF(($B:$B="AI")*($C:$C="Writing Reflection"),$D:$D)))</f>
        <v>0.58466805513374676</v>
      </c>
      <c r="O5" cm="1">
        <f t="array" ref="O5">(_xlfn.STDEV.S(IF(($B:$B="AI")*($C:$C="Avoids Processing"),$D:$D)))</f>
        <v>0.24222607082590239</v>
      </c>
      <c r="P5" cm="1">
        <f t="array" ref="P5">(_xlfn.STDEV.S(IF(($B:$B="AI")*($C:$C="Appropriateness"),$D:$D)))</f>
        <v>0.91519671875155106</v>
      </c>
      <c r="Q5" cm="1">
        <f t="array" ref="Q5">(_xlfn.STDEV.S(IF(($B:$B="AI")*($C:$C="Relevance"),$D:$D)))</f>
        <v>1.0432810619146022</v>
      </c>
    </row>
    <row r="6" spans="1:17">
      <c r="A6">
        <v>3</v>
      </c>
      <c r="B6" t="s">
        <v>7</v>
      </c>
      <c r="C6" t="s">
        <v>4</v>
      </c>
      <c r="D6">
        <v>5</v>
      </c>
      <c r="F6" s="4" t="s">
        <v>3</v>
      </c>
      <c r="G6" s="2">
        <v>18</v>
      </c>
      <c r="H6">
        <f t="shared" si="0"/>
        <v>1.6</v>
      </c>
      <c r="I6">
        <f t="shared" si="1"/>
        <v>2</v>
      </c>
      <c r="J6">
        <f t="shared" si="2"/>
        <v>0.875</v>
      </c>
      <c r="L6" s="2" t="s">
        <v>98</v>
      </c>
      <c r="M6" cm="1">
        <f t="array" ref="M6">(_xlfn.VAR.S(IF(($B:$B="AI")*($C:$C="Distress Check"),$D:$D)))</f>
        <v>0.38945578231292544</v>
      </c>
      <c r="N6" cm="1">
        <f t="array" ref="N6">(_xlfn.VAR.S(IF(($B:$B="AI")*($C:$C="Writing Reflection"),$D:$D)))</f>
        <v>0.34183673469387799</v>
      </c>
      <c r="O6" cm="1">
        <f t="array" ref="O6">(_xlfn.VAR.S(IF(($B:$B="AI")*($C:$C="Avoids Processing"),$D:$D)))</f>
        <v>5.8673469387755084E-2</v>
      </c>
      <c r="P6" cm="1">
        <f t="array" ref="P6">(_xlfn.VAR.S(IF(($B:$B="AI")*($C:$C="Appropriateness"),$D:$D)))</f>
        <v>0.83758503401360562</v>
      </c>
      <c r="Q6" cm="1">
        <f t="array" ref="Q6">(_xlfn.VAR.S(IF(($B:$B="AI")*($C:$C="Relevance"),$D:$D)))</f>
        <v>1.08843537414966</v>
      </c>
    </row>
    <row r="7" spans="1:17">
      <c r="A7">
        <v>3</v>
      </c>
      <c r="B7" t="s">
        <v>8</v>
      </c>
      <c r="C7" t="s">
        <v>1</v>
      </c>
      <c r="D7">
        <v>5</v>
      </c>
      <c r="F7" t="s">
        <v>31</v>
      </c>
      <c r="G7" s="2">
        <v>20</v>
      </c>
      <c r="H7">
        <f t="shared" si="0"/>
        <v>2.25</v>
      </c>
      <c r="I7">
        <f t="shared" si="1"/>
        <v>2</v>
      </c>
      <c r="J7">
        <f t="shared" si="2"/>
        <v>2</v>
      </c>
    </row>
    <row r="8" spans="1:17">
      <c r="A8">
        <v>3</v>
      </c>
      <c r="B8" t="s">
        <v>8</v>
      </c>
      <c r="C8" t="s">
        <v>2</v>
      </c>
      <c r="D8">
        <v>3</v>
      </c>
      <c r="F8" s="4" t="s">
        <v>5</v>
      </c>
      <c r="G8" s="2">
        <v>23</v>
      </c>
      <c r="H8">
        <f t="shared" si="0"/>
        <v>1.6666666666666667</v>
      </c>
      <c r="I8">
        <f t="shared" si="1"/>
        <v>3</v>
      </c>
      <c r="J8">
        <f t="shared" si="2"/>
        <v>1.1111111111111112</v>
      </c>
      <c r="L8" s="7" t="s">
        <v>128</v>
      </c>
      <c r="M8" s="7"/>
      <c r="N8" s="7"/>
      <c r="O8" s="7"/>
      <c r="P8" s="7"/>
      <c r="Q8" s="7"/>
    </row>
    <row r="9" spans="1:17">
      <c r="A9">
        <v>3</v>
      </c>
      <c r="B9" t="s">
        <v>8</v>
      </c>
      <c r="C9" t="s">
        <v>3</v>
      </c>
      <c r="D9">
        <v>1</v>
      </c>
      <c r="F9" t="s">
        <v>32</v>
      </c>
      <c r="G9" s="2">
        <v>25</v>
      </c>
      <c r="H9">
        <f t="shared" si="0"/>
        <v>1.8</v>
      </c>
      <c r="I9">
        <f t="shared" si="1"/>
        <v>5</v>
      </c>
      <c r="J9">
        <f t="shared" si="2"/>
        <v>1.2857142857142858</v>
      </c>
      <c r="M9" t="s">
        <v>100</v>
      </c>
      <c r="N9" t="s">
        <v>101</v>
      </c>
      <c r="O9" t="s">
        <v>102</v>
      </c>
      <c r="P9" t="s">
        <v>103</v>
      </c>
      <c r="Q9" t="s">
        <v>104</v>
      </c>
    </row>
    <row r="10" spans="1:17">
      <c r="A10">
        <v>3</v>
      </c>
      <c r="B10" t="s">
        <v>8</v>
      </c>
      <c r="C10" t="s">
        <v>5</v>
      </c>
      <c r="D10">
        <v>4</v>
      </c>
      <c r="F10" s="4" t="s">
        <v>4</v>
      </c>
      <c r="G10" s="2">
        <v>28</v>
      </c>
      <c r="H10">
        <f t="shared" si="0"/>
        <v>1.8</v>
      </c>
      <c r="I10">
        <f t="shared" si="1"/>
        <v>3</v>
      </c>
      <c r="J10">
        <f t="shared" si="2"/>
        <v>1.1111111111111112</v>
      </c>
      <c r="L10" s="2" t="s">
        <v>96</v>
      </c>
      <c r="M10">
        <f>(SUMIFS($D:$D,$B:$B,"Therapist",$C:$C,"Distress Check"))</f>
        <v>186</v>
      </c>
      <c r="N10">
        <f>(SUMIFS($D:$D,$B:$B,"Therapist",$C:$C,"Writing Reflection"))</f>
        <v>186</v>
      </c>
      <c r="O10">
        <f>(SUMIFS($D:$D,$B:$B,"Therapist",$C:$C,"Avoids Processing"))</f>
        <v>169</v>
      </c>
      <c r="P10">
        <f>(SUMIFS($D:$D,$B:$B,"Therapist",$C:$C,"Appropriateness"))</f>
        <v>216</v>
      </c>
      <c r="Q10">
        <f>(SUMIFS($D:$D,$B:$B,"Therapist",$C:$C,"Relevance"))</f>
        <v>179</v>
      </c>
    </row>
    <row r="11" spans="1:17">
      <c r="A11">
        <v>3</v>
      </c>
      <c r="B11" t="s">
        <v>8</v>
      </c>
      <c r="C11" t="s">
        <v>4</v>
      </c>
      <c r="D11">
        <v>5</v>
      </c>
      <c r="F11" t="s">
        <v>33</v>
      </c>
      <c r="G11" s="2">
        <v>31</v>
      </c>
      <c r="H11">
        <f t="shared" si="0"/>
        <v>2.25</v>
      </c>
      <c r="I11">
        <f t="shared" si="1"/>
        <v>5</v>
      </c>
      <c r="J11">
        <f t="shared" si="2"/>
        <v>1</v>
      </c>
      <c r="L11" t="s">
        <v>99</v>
      </c>
      <c r="M11">
        <f>(AVERAGEIFS($D:$D,$B:$B,"Therapist",$C:$C,"Distress Check"))</f>
        <v>3.795918367346939</v>
      </c>
      <c r="N11">
        <f>(AVERAGEIFS($D:$D,$B:$B,"Therapist",$C:$C,"Writing Reflection"))</f>
        <v>3.795918367346939</v>
      </c>
      <c r="O11">
        <f>(AVERAGEIFS($D:$D,$B:$B,"Therapist",$C:$C,"Avoids Processing"))</f>
        <v>3.4489795918367347</v>
      </c>
      <c r="P11">
        <f>(AVERAGEIFS($D:$D,$B:$B,"Therapist",$C:$C,"Appropriateness"))</f>
        <v>4.408163265306122</v>
      </c>
      <c r="Q11">
        <f>(AVERAGEIFS($D:$D,$B:$B,"Therapist",$C:$C,"Relevance"))</f>
        <v>3.6530612244897958</v>
      </c>
    </row>
    <row r="12" spans="1:17">
      <c r="A12">
        <v>4</v>
      </c>
      <c r="B12" t="str">
        <f>B2</f>
        <v>AI</v>
      </c>
      <c r="C12" t="str">
        <f>C2</f>
        <v>Distress Check</v>
      </c>
      <c r="D12">
        <v>2</v>
      </c>
      <c r="G12" s="2">
        <v>32</v>
      </c>
      <c r="H12">
        <f t="shared" si="0"/>
        <v>2</v>
      </c>
      <c r="I12">
        <f t="shared" si="1"/>
        <v>4</v>
      </c>
      <c r="J12">
        <f t="shared" si="2"/>
        <v>2.5</v>
      </c>
      <c r="L12" t="s">
        <v>97</v>
      </c>
      <c r="M12" cm="1">
        <f t="array" ref="M12">(_xlfn.STDEV.S(IF(($B:$B="Therapist")*($C:$C="Distress Check"),$D:$D)))</f>
        <v>1.1722412976277305</v>
      </c>
      <c r="N12" cm="1">
        <f t="array" ref="N12">(_xlfn.STDEV.S(IF(($B:$B="Therapist")*($C:$C="Writing Reflection"),$D:$D)))</f>
        <v>0.91240505982665354</v>
      </c>
      <c r="O12" cm="1">
        <f t="array" ref="O12">(_xlfn.STDEV.S(IF(($B:$B="Therapist")*($C:$C="Avoids Processing"),$D:$D)))</f>
        <v>1.1376368871809799</v>
      </c>
      <c r="P12" cm="1">
        <f t="array" ref="P12">(_xlfn.STDEV.S(IF(($B:$B="Therapist")*($C:$C="Appropriateness"),$D:$D)))</f>
        <v>0.83960227059549841</v>
      </c>
      <c r="Q12" cm="1">
        <f t="array" ref="Q12">(_xlfn.STDEV.S(IF(($B:$B="Therapist")*($C:$C="Relevance"),$D:$D)))</f>
        <v>1.0318070800009735</v>
      </c>
    </row>
    <row r="13" spans="1:17">
      <c r="A13">
        <v>4</v>
      </c>
      <c r="B13" t="str">
        <f t="shared" ref="B13:C13" si="3">B3</f>
        <v>AI</v>
      </c>
      <c r="C13" t="str">
        <f t="shared" si="3"/>
        <v>Writing Reflection</v>
      </c>
      <c r="D13">
        <v>3</v>
      </c>
      <c r="G13" s="2">
        <v>33</v>
      </c>
      <c r="H13">
        <f t="shared" si="0"/>
        <v>1.5</v>
      </c>
      <c r="I13">
        <f t="shared" si="1"/>
        <v>5</v>
      </c>
      <c r="J13">
        <f t="shared" si="2"/>
        <v>1.1428571428571428</v>
      </c>
      <c r="L13" s="2" t="s">
        <v>98</v>
      </c>
      <c r="M13" cm="1">
        <f t="array" ref="M13">(_xlfn.VAR.S(IF(($B:$B="Therapist")*($C:$C="Distress Check"),$D:$D)))</f>
        <v>1.3741496598639458</v>
      </c>
      <c r="N13" cm="1">
        <f t="array" ref="N13">(_xlfn.VAR.S(IF(($B:$B="Therapist")*($C:$C="Writing Reflection"),$D:$D)))</f>
        <v>0.83248299319727914</v>
      </c>
      <c r="O13" cm="1">
        <f t="array" ref="O13">(_xlfn.VAR.S(IF(($B:$B="Therapist")*($C:$C="Avoids Processing"),$D:$D)))</f>
        <v>1.2942176870748294</v>
      </c>
      <c r="P13" cm="1">
        <f t="array" ref="P13">(_xlfn.VAR.S(IF(($B:$B="Therapist")*($C:$C="Appropriateness"),$D:$D)))</f>
        <v>0.70493197278911646</v>
      </c>
      <c r="Q13" cm="1">
        <f t="array" ref="Q13">(_xlfn.VAR.S(IF(($B:$B="Therapist")*($C:$C="Relevance"),$D:$D)))</f>
        <v>1.0646258503401356</v>
      </c>
    </row>
    <row r="14" spans="1:17">
      <c r="A14">
        <v>4</v>
      </c>
      <c r="B14" t="str">
        <f t="shared" ref="B14:C14" si="4">B4</f>
        <v>AI</v>
      </c>
      <c r="C14" t="str">
        <f t="shared" si="4"/>
        <v>Avoids Processing</v>
      </c>
      <c r="D14">
        <v>1</v>
      </c>
      <c r="G14" s="2">
        <v>34</v>
      </c>
      <c r="H14">
        <f t="shared" si="0"/>
        <v>1.6</v>
      </c>
      <c r="I14">
        <f t="shared" si="1"/>
        <v>5</v>
      </c>
      <c r="J14">
        <f t="shared" si="2"/>
        <v>1.75</v>
      </c>
    </row>
    <row r="15" spans="1:17">
      <c r="A15">
        <v>4</v>
      </c>
      <c r="B15" t="str">
        <f t="shared" ref="B15:C15" si="5">B5</f>
        <v>AI</v>
      </c>
      <c r="C15" t="str">
        <f t="shared" si="5"/>
        <v>Appropriateness</v>
      </c>
      <c r="D15">
        <v>4</v>
      </c>
      <c r="G15" s="2">
        <v>36</v>
      </c>
      <c r="H15">
        <f t="shared" si="0"/>
        <v>1.8</v>
      </c>
      <c r="I15">
        <f t="shared" si="1"/>
        <v>3</v>
      </c>
      <c r="J15">
        <f t="shared" si="2"/>
        <v>2.25</v>
      </c>
      <c r="L15" s="7" t="s">
        <v>127</v>
      </c>
      <c r="M15" s="7"/>
      <c r="N15" s="7"/>
      <c r="O15" s="7"/>
      <c r="P15" s="7"/>
      <c r="Q15" s="7"/>
    </row>
    <row r="16" spans="1:17">
      <c r="A16">
        <v>4</v>
      </c>
      <c r="B16" t="str">
        <f t="shared" ref="B16:C16" si="6">B6</f>
        <v>AI</v>
      </c>
      <c r="C16" t="str">
        <f t="shared" si="6"/>
        <v>Relevance</v>
      </c>
      <c r="D16">
        <v>5</v>
      </c>
      <c r="G16" s="2">
        <v>38</v>
      </c>
      <c r="H16">
        <f t="shared" si="0"/>
        <v>1.5</v>
      </c>
      <c r="I16">
        <f t="shared" si="1"/>
        <v>2</v>
      </c>
      <c r="J16">
        <f t="shared" si="2"/>
        <v>1.4</v>
      </c>
      <c r="M16" t="s">
        <v>100</v>
      </c>
      <c r="N16" t="s">
        <v>101</v>
      </c>
      <c r="O16" t="s">
        <v>102</v>
      </c>
      <c r="P16" t="s">
        <v>103</v>
      </c>
      <c r="Q16" t="s">
        <v>104</v>
      </c>
    </row>
    <row r="17" spans="1:28">
      <c r="A17">
        <v>4</v>
      </c>
      <c r="B17" t="str">
        <f t="shared" ref="B17:C17" si="7">B7</f>
        <v>Therapist</v>
      </c>
      <c r="C17" t="str">
        <f t="shared" si="7"/>
        <v>Distress Check</v>
      </c>
      <c r="D17">
        <v>5</v>
      </c>
      <c r="G17" s="2">
        <v>42</v>
      </c>
      <c r="H17">
        <f t="shared" si="0"/>
        <v>2.3333333333333335</v>
      </c>
      <c r="I17">
        <f t="shared" si="1"/>
        <v>5</v>
      </c>
      <c r="J17">
        <f t="shared" si="2"/>
        <v>1.6666666666666667</v>
      </c>
      <c r="L17" s="2" t="s">
        <v>96</v>
      </c>
      <c r="M17">
        <f>(SUMIFS($D:$D,$C:$C,"Distress Check"))</f>
        <v>276</v>
      </c>
      <c r="N17">
        <f>(SUMIFS($D:$D,$C:$C,"Writing Reflection"))</f>
        <v>299</v>
      </c>
      <c r="O17">
        <f>(SUMIFS($D:$D,$C:$C,"Avoids Processing"))</f>
        <v>221</v>
      </c>
      <c r="P17">
        <f>(SUMIFS($D:$D,$C:$C,"Appropriateness"))</f>
        <v>337</v>
      </c>
      <c r="Q17">
        <f>(SUMIFS($D:$D,$C:$C,"Relevance"))</f>
        <v>301</v>
      </c>
    </row>
    <row r="18" spans="1:28">
      <c r="A18">
        <v>4</v>
      </c>
      <c r="B18" t="str">
        <f t="shared" ref="B18:C18" si="8">B8</f>
        <v>Therapist</v>
      </c>
      <c r="C18" t="str">
        <f t="shared" si="8"/>
        <v>Writing Reflection</v>
      </c>
      <c r="D18">
        <v>3</v>
      </c>
      <c r="G18" s="2">
        <v>44</v>
      </c>
      <c r="H18">
        <f t="shared" si="0"/>
        <v>1.5</v>
      </c>
      <c r="I18">
        <f t="shared" si="1"/>
        <v>2</v>
      </c>
      <c r="J18">
        <f t="shared" si="2"/>
        <v>1.1666666666666667</v>
      </c>
      <c r="L18" t="s">
        <v>99</v>
      </c>
      <c r="M18">
        <f>(AVERAGEIFS($D:$D,$C:$C,"Distress Check"))</f>
        <v>2.8163265306122449</v>
      </c>
      <c r="N18">
        <f>(AVERAGEIFS($D:$D,$C:$C,"Writing Reflection"))</f>
        <v>3.0510204081632653</v>
      </c>
      <c r="O18">
        <f>(AVERAGEIFS($D:$D,$C:$C,"Avoids Processing"))</f>
        <v>2.2551020408163267</v>
      </c>
      <c r="P18">
        <f>(AVERAGEIFS($D:$D,$C:$C,"Appropriateness"))</f>
        <v>3.4387755102040818</v>
      </c>
      <c r="Q18">
        <f>(AVERAGEIFS($D:$D,$C:$C,"Relevance"))</f>
        <v>3.0714285714285716</v>
      </c>
    </row>
    <row r="19" spans="1:28">
      <c r="A19">
        <v>4</v>
      </c>
      <c r="B19" t="str">
        <f t="shared" ref="B19:C19" si="9">B9</f>
        <v>Therapist</v>
      </c>
      <c r="C19" t="str">
        <f t="shared" si="9"/>
        <v>Avoids Processing</v>
      </c>
      <c r="D19">
        <v>5</v>
      </c>
      <c r="G19" s="2">
        <v>45</v>
      </c>
      <c r="H19">
        <f t="shared" si="0"/>
        <v>2</v>
      </c>
      <c r="I19">
        <f t="shared" si="1"/>
        <v>5</v>
      </c>
      <c r="J19">
        <f t="shared" si="2"/>
        <v>1.75</v>
      </c>
      <c r="L19" t="s">
        <v>97</v>
      </c>
      <c r="M19" cm="1">
        <f t="array" ref="M19">(_xlfn.STDEV.S(IF(($C:$C="Distress Check"),$D:$D)))</f>
        <v>1.3572784987637561</v>
      </c>
      <c r="N19" cm="1">
        <f t="array" ref="N19">(_xlfn.STDEV.S(IF(($C:$C="Writing Reflection"),$D:$D)))</f>
        <v>1.0685036167279247</v>
      </c>
      <c r="O19" cm="1">
        <f t="array" ref="O19">(_xlfn.STDEV.S(IF(($C:$C="Avoids Processing"),$D:$D)))</f>
        <v>1.4524151552826627</v>
      </c>
      <c r="P19" cm="1">
        <f t="array" ref="P19">(_xlfn.STDEV.S(IF(($C:$C="Appropriateness"),$D:$D)))</f>
        <v>1.3087046127823418</v>
      </c>
      <c r="Q19" cm="1">
        <f t="array" ref="Q19">(_xlfn.STDEV.S(IF(($C:$C="Relevance"),$D:$D)))</f>
        <v>1.1862615625760453</v>
      </c>
    </row>
    <row r="20" spans="1:28">
      <c r="A20">
        <v>4</v>
      </c>
      <c r="B20" t="str">
        <f t="shared" ref="B20:C20" si="10">B10</f>
        <v>Therapist</v>
      </c>
      <c r="C20" t="str">
        <f t="shared" si="10"/>
        <v>Appropriateness</v>
      </c>
      <c r="D20">
        <v>5</v>
      </c>
      <c r="G20" s="2">
        <v>46</v>
      </c>
      <c r="H20">
        <f t="shared" si="0"/>
        <v>1.75</v>
      </c>
      <c r="I20">
        <f t="shared" si="1"/>
        <v>3</v>
      </c>
      <c r="J20">
        <f t="shared" si="2"/>
        <v>2</v>
      </c>
      <c r="L20" s="2" t="s">
        <v>98</v>
      </c>
      <c r="M20" cm="1">
        <f t="array" ref="M20">(_xlfn.VAR.S(IF(($C:$C="Distress Check"),$D:$D)))</f>
        <v>1.8422049232063955</v>
      </c>
      <c r="N20" cm="1">
        <f t="array" ref="N20">(_xlfn.VAR.S(IF(($C:$C="Writing Reflection"),$D:$D)))</f>
        <v>1.1416999789606559</v>
      </c>
      <c r="O20" cm="1">
        <f t="array" ref="O20">(_xlfn.VAR.S(IF(($C:$C="Avoids Processing"),$D:$D)))</f>
        <v>2.1095097832947611</v>
      </c>
      <c r="P20" cm="1">
        <f t="array" ref="P20">(_xlfn.VAR.S(IF(($C:$C="Appropriateness"),$D:$D)))</f>
        <v>1.7127077635177792</v>
      </c>
      <c r="Q20" cm="1">
        <f t="array" ref="Q20">(_xlfn.VAR.S(IF(($C:$C="Relevance"),$D:$D)))</f>
        <v>1.4072164948453609</v>
      </c>
    </row>
    <row r="21" spans="1:28">
      <c r="A21">
        <v>4</v>
      </c>
      <c r="B21" t="str">
        <f t="shared" ref="B21:C21" si="11">B11</f>
        <v>Therapist</v>
      </c>
      <c r="C21" t="str">
        <f t="shared" si="11"/>
        <v>Relevance</v>
      </c>
      <c r="D21">
        <v>5</v>
      </c>
      <c r="G21" s="2">
        <v>49</v>
      </c>
      <c r="H21">
        <f t="shared" si="0"/>
        <v>2.3333333333333335</v>
      </c>
      <c r="I21">
        <f t="shared" si="1"/>
        <v>2</v>
      </c>
      <c r="J21">
        <f t="shared" si="2"/>
        <v>1.75</v>
      </c>
    </row>
    <row r="22" spans="1:28">
      <c r="A22">
        <v>16</v>
      </c>
      <c r="B22" t="str">
        <f t="shared" ref="B22:C22" si="12">B12</f>
        <v>AI</v>
      </c>
      <c r="C22" t="str">
        <f t="shared" si="12"/>
        <v>Distress Check</v>
      </c>
      <c r="D22">
        <v>2</v>
      </c>
      <c r="G22" s="2">
        <v>51</v>
      </c>
      <c r="H22">
        <f t="shared" si="0"/>
        <v>1.4</v>
      </c>
      <c r="I22">
        <f t="shared" si="1"/>
        <v>3</v>
      </c>
      <c r="J22">
        <f t="shared" si="2"/>
        <v>2</v>
      </c>
      <c r="L22" s="7" t="s">
        <v>131</v>
      </c>
      <c r="M22" s="7"/>
      <c r="N22" s="7"/>
      <c r="O22" s="7"/>
      <c r="P22" s="7"/>
      <c r="Q22" s="7"/>
      <c r="R22" s="7"/>
      <c r="S22" s="7"/>
      <c r="U22" s="7" t="s">
        <v>132</v>
      </c>
      <c r="V22" s="7"/>
      <c r="W22" s="7"/>
      <c r="X22" s="7"/>
      <c r="Y22" s="7"/>
      <c r="Z22" s="7"/>
      <c r="AA22" s="7"/>
      <c r="AB22" s="7"/>
    </row>
    <row r="23" spans="1:28">
      <c r="A23">
        <v>16</v>
      </c>
      <c r="B23" t="str">
        <f t="shared" ref="B23:C23" si="13">B13</f>
        <v>AI</v>
      </c>
      <c r="C23" t="str">
        <f t="shared" si="13"/>
        <v>Writing Reflection</v>
      </c>
      <c r="D23">
        <v>4</v>
      </c>
      <c r="G23" s="2">
        <v>52</v>
      </c>
      <c r="H23">
        <f t="shared" si="0"/>
        <v>1.4</v>
      </c>
      <c r="I23">
        <f t="shared" si="1"/>
        <v>4</v>
      </c>
      <c r="J23">
        <f t="shared" si="2"/>
        <v>2</v>
      </c>
      <c r="L23" t="s">
        <v>0</v>
      </c>
      <c r="M23" t="s">
        <v>100</v>
      </c>
      <c r="N23" t="s">
        <v>101</v>
      </c>
      <c r="O23" t="s">
        <v>102</v>
      </c>
      <c r="P23" t="s">
        <v>103</v>
      </c>
      <c r="Q23" t="s">
        <v>104</v>
      </c>
      <c r="R23" t="s">
        <v>129</v>
      </c>
      <c r="S23" t="s">
        <v>130</v>
      </c>
      <c r="U23" t="s">
        <v>0</v>
      </c>
      <c r="V23" t="s">
        <v>100</v>
      </c>
      <c r="W23" t="s">
        <v>101</v>
      </c>
      <c r="X23" t="s">
        <v>102</v>
      </c>
      <c r="Y23" t="s">
        <v>103</v>
      </c>
      <c r="Z23" t="s">
        <v>104</v>
      </c>
      <c r="AA23" t="s">
        <v>129</v>
      </c>
      <c r="AB23" t="s">
        <v>130</v>
      </c>
    </row>
    <row r="24" spans="1:28">
      <c r="A24">
        <v>16</v>
      </c>
      <c r="B24" t="str">
        <f t="shared" ref="B24:C24" si="14">B14</f>
        <v>AI</v>
      </c>
      <c r="C24" t="str">
        <f t="shared" si="14"/>
        <v>Avoids Processing</v>
      </c>
      <c r="D24">
        <v>1</v>
      </c>
      <c r="G24" s="2">
        <v>55</v>
      </c>
      <c r="H24">
        <f t="shared" si="0"/>
        <v>1.4</v>
      </c>
      <c r="I24">
        <f t="shared" si="1"/>
        <v>2</v>
      </c>
      <c r="J24">
        <f t="shared" si="2"/>
        <v>1.25</v>
      </c>
      <c r="L24" s="2">
        <v>3</v>
      </c>
      <c r="M24" cm="1">
        <f t="array" ref="M24">_xlfn._xlws.FILTER(D:D, (A:A=$L24)*(B:B="AI")*(C:C="Distress Check"))</f>
        <v>2</v>
      </c>
      <c r="N24" cm="1">
        <f t="array" ref="N24">_xlfn._xlws.FILTER(D:D, (A:A=$L24)*(B:B="AI")*(C:C="Writing Reflection"))</f>
        <v>3</v>
      </c>
      <c r="O24" cm="1">
        <f t="array" ref="O24">_xlfn._xlws.FILTER(D:D, (A:A=$L24)*(B:B="AI")*(C:C="Avoids Processing"))</f>
        <v>2</v>
      </c>
      <c r="P24" cm="1">
        <f t="array" ref="P24">_xlfn._xlws.FILTER(D:D, (A:A=$L24)*(B:B="AI")*(C:C="Appropriateness"))</f>
        <v>3</v>
      </c>
      <c r="Q24" cm="1">
        <f t="array" ref="Q24">_xlfn._xlws.FILTER(D:D, (A:A=$L24)*(B:B="AI")*(C:C="Relevance"))</f>
        <v>5</v>
      </c>
      <c r="R24">
        <f>SUM($M24, $N24)</f>
        <v>5</v>
      </c>
      <c r="S24">
        <f>SUM($P24, $Q24)</f>
        <v>8</v>
      </c>
      <c r="U24" s="2">
        <v>3</v>
      </c>
      <c r="V24" cm="1">
        <f t="array" ref="V24">_xlfn._xlws.FILTER(D:D, (A:A=$U24)*(B:B="Therapist")*(C:C="Distress Check"))</f>
        <v>5</v>
      </c>
      <c r="W24" cm="1">
        <f t="array" ref="W24">_xlfn._xlws.FILTER(D:D, (A:A=$U24)*(B:B="Therapist")*(C:C="Writing Reflection"))</f>
        <v>3</v>
      </c>
      <c r="X24" cm="1">
        <f t="array" ref="X24">_xlfn._xlws.FILTER(D:D, (A:A=$U24)*(B:B="Therapist")*(C:C="Avoids Processing"))</f>
        <v>1</v>
      </c>
      <c r="Y24" cm="1">
        <f t="array" ref="Y24">_xlfn._xlws.FILTER(D:D, (A:A=$U24)*(B:B="Therapist")*(C:C="Appropriateness"))</f>
        <v>4</v>
      </c>
      <c r="Z24" cm="1">
        <f t="array" ref="Z24">_xlfn._xlws.FILTER(D:D, (A:A=$U24)*(B:B="Therapist")*(C:C="Relevance"))</f>
        <v>5</v>
      </c>
      <c r="AA24">
        <f>SUM($V24, $W24)</f>
        <v>8</v>
      </c>
      <c r="AB24">
        <f>SUM(Y24, Z24)</f>
        <v>9</v>
      </c>
    </row>
    <row r="25" spans="1:28">
      <c r="A25">
        <v>16</v>
      </c>
      <c r="B25" t="str">
        <f t="shared" ref="B25:C25" si="15">B15</f>
        <v>AI</v>
      </c>
      <c r="C25" t="str">
        <f t="shared" si="15"/>
        <v>Appropriateness</v>
      </c>
      <c r="D25">
        <v>5</v>
      </c>
      <c r="G25" s="2">
        <v>60</v>
      </c>
      <c r="H25">
        <f t="shared" si="0"/>
        <v>1.5</v>
      </c>
      <c r="I25">
        <f t="shared" si="1"/>
        <v>3</v>
      </c>
      <c r="J25">
        <f t="shared" si="2"/>
        <v>2</v>
      </c>
      <c r="L25" s="2">
        <v>4</v>
      </c>
      <c r="M25" cm="1">
        <f t="array" ref="M25">_xlfn._xlws.FILTER(D:D, (A:A=$L25)*(B:B="AI")*(C:C="Distress Check"))</f>
        <v>2</v>
      </c>
      <c r="N25" cm="1">
        <f t="array" ref="N25">_xlfn._xlws.FILTER(D:D, (A:A=$L25)*(B:B="AI")*(C:C="Writing Reflection"))</f>
        <v>3</v>
      </c>
      <c r="O25" cm="1">
        <f t="array" ref="O25">_xlfn._xlws.FILTER(D:D, (A:A=$L25)*(B:B="AI")*(C:C="Avoids Processing"))</f>
        <v>1</v>
      </c>
      <c r="P25" cm="1">
        <f t="array" ref="P25">_xlfn._xlws.FILTER(D:D, (A:A=$L25)*(B:B="AI")*(C:C="Appropriateness"))</f>
        <v>4</v>
      </c>
      <c r="Q25" cm="1">
        <f t="array" ref="Q25">_xlfn._xlws.FILTER(D:D, (A:A=$L25)*(B:B="AI")*(C:C="Relevance"))</f>
        <v>5</v>
      </c>
      <c r="R25">
        <f t="shared" ref="R25:R72" si="16">SUM($M25, $N25)</f>
        <v>5</v>
      </c>
      <c r="S25">
        <f t="shared" ref="S25:S72" si="17">SUM($P25, $Q25)</f>
        <v>9</v>
      </c>
      <c r="U25" s="2">
        <v>4</v>
      </c>
      <c r="V25" cm="1">
        <f t="array" ref="V25">_xlfn._xlws.FILTER(D:D, (A:A=$U25)*(B:B="Therapist")*(C:C="Distress Check"))</f>
        <v>5</v>
      </c>
      <c r="W25" cm="1">
        <f t="array" ref="W25">_xlfn._xlws.FILTER(D:D, (A:A=$U25)*(B:B="Therapist")*(C:C="Writing Reflection"))</f>
        <v>3</v>
      </c>
      <c r="X25" cm="1">
        <f t="array" ref="X25">_xlfn._xlws.FILTER(D:D, (A:A=$U25)*(B:B="Therapist")*(C:C="Avoids Processing"))</f>
        <v>5</v>
      </c>
      <c r="Y25" cm="1">
        <f t="array" ref="Y25">_xlfn._xlws.FILTER(D:D, (A:A=$U25)*(B:B="Therapist")*(C:C="Appropriateness"))</f>
        <v>5</v>
      </c>
      <c r="Z25" cm="1">
        <f t="array" ref="Z25">_xlfn._xlws.FILTER(D:D, (A:A=$U25)*(B:B="Therapist")*(C:C="Relevance"))</f>
        <v>5</v>
      </c>
      <c r="AA25">
        <f t="shared" ref="AA25:AA72" si="18">SUM($V25, $W25)</f>
        <v>8</v>
      </c>
      <c r="AB25">
        <f t="shared" ref="AB25:AB72" si="19">SUM(Y25, Z25)</f>
        <v>10</v>
      </c>
    </row>
    <row r="26" spans="1:28">
      <c r="A26">
        <v>16</v>
      </c>
      <c r="B26" t="str">
        <f t="shared" ref="B26:C26" si="20">B16</f>
        <v>AI</v>
      </c>
      <c r="C26" t="str">
        <f t="shared" si="20"/>
        <v>Relevance</v>
      </c>
      <c r="D26">
        <v>5</v>
      </c>
      <c r="G26" s="2">
        <v>66</v>
      </c>
      <c r="H26">
        <f t="shared" si="0"/>
        <v>2.25</v>
      </c>
      <c r="I26">
        <f t="shared" si="1"/>
        <v>5</v>
      </c>
      <c r="J26">
        <f t="shared" si="2"/>
        <v>2.5</v>
      </c>
      <c r="L26" s="2">
        <v>16</v>
      </c>
      <c r="M26" cm="1">
        <f t="array" ref="M26">_xlfn._xlws.FILTER(D:D, (A:A=$L26)*(B:B="AI")*(C:C="Distress Check"))</f>
        <v>2</v>
      </c>
      <c r="N26" cm="1">
        <f t="array" ref="N26">_xlfn._xlws.FILTER(D:D, (A:A=$L26)*(B:B="AI")*(C:C="Writing Reflection"))</f>
        <v>4</v>
      </c>
      <c r="O26" cm="1">
        <f t="array" ref="O26">_xlfn._xlws.FILTER(D:D, (A:A=$L26)*(B:B="AI")*(C:C="Avoids Processing"))</f>
        <v>1</v>
      </c>
      <c r="P26" cm="1">
        <f t="array" ref="P26">_xlfn._xlws.FILTER(D:D, (A:A=$L26)*(B:B="AI")*(C:C="Appropriateness"))</f>
        <v>5</v>
      </c>
      <c r="Q26" cm="1">
        <f t="array" ref="Q26">_xlfn._xlws.FILTER(D:D, (A:A=$L26)*(B:B="AI")*(C:C="Relevance"))</f>
        <v>5</v>
      </c>
      <c r="R26">
        <f t="shared" si="16"/>
        <v>6</v>
      </c>
      <c r="S26">
        <f t="shared" si="17"/>
        <v>10</v>
      </c>
      <c r="U26" s="2">
        <v>16</v>
      </c>
      <c r="V26" cm="1">
        <f t="array" ref="V26">_xlfn._xlws.FILTER(D:D, (A:A=$U26)*(B:B="Therapist")*(C:C="Distress Check"))</f>
        <v>5</v>
      </c>
      <c r="W26" cm="1">
        <f t="array" ref="W26">_xlfn._xlws.FILTER(D:D, (A:A=$U26)*(B:B="Therapist")*(C:C="Writing Reflection"))</f>
        <v>4</v>
      </c>
      <c r="X26" cm="1">
        <f t="array" ref="X26">_xlfn._xlws.FILTER(D:D, (A:A=$U26)*(B:B="Therapist")*(C:C="Avoids Processing"))</f>
        <v>4</v>
      </c>
      <c r="Y26" cm="1">
        <f t="array" ref="Y26">_xlfn._xlws.FILTER(D:D, (A:A=$U26)*(B:B="Therapist")*(C:C="Appropriateness"))</f>
        <v>5</v>
      </c>
      <c r="Z26" cm="1">
        <f t="array" ref="Z26">_xlfn._xlws.FILTER(D:D, (A:A=$U26)*(B:B="Therapist")*(C:C="Relevance"))</f>
        <v>5</v>
      </c>
      <c r="AA26">
        <f t="shared" si="18"/>
        <v>9</v>
      </c>
      <c r="AB26">
        <f t="shared" si="19"/>
        <v>10</v>
      </c>
    </row>
    <row r="27" spans="1:28">
      <c r="A27">
        <v>16</v>
      </c>
      <c r="B27" t="str">
        <f t="shared" ref="B27:C27" si="21">B17</f>
        <v>Therapist</v>
      </c>
      <c r="C27" t="str">
        <f t="shared" si="21"/>
        <v>Distress Check</v>
      </c>
      <c r="D27">
        <v>5</v>
      </c>
      <c r="G27" s="2">
        <v>68</v>
      </c>
      <c r="H27">
        <f t="shared" si="0"/>
        <v>1.75</v>
      </c>
      <c r="I27">
        <f t="shared" si="1"/>
        <v>4</v>
      </c>
      <c r="J27">
        <f t="shared" si="2"/>
        <v>2</v>
      </c>
      <c r="L27" s="2">
        <v>17</v>
      </c>
      <c r="M27" cm="1">
        <f t="array" ref="M27">_xlfn._xlws.FILTER(D:D, (A:A=$L27)*(B:B="AI")*(C:C="Distress Check"))</f>
        <v>2</v>
      </c>
      <c r="N27" cm="1">
        <f t="array" ref="N27">_xlfn._xlws.FILTER(D:D, (A:A=$L27)*(B:B="AI")*(C:C="Writing Reflection"))</f>
        <v>4</v>
      </c>
      <c r="O27" cm="1">
        <f t="array" ref="O27">_xlfn._xlws.FILTER(D:D, (A:A=$L27)*(B:B="AI")*(C:C="Avoids Processing"))</f>
        <v>1</v>
      </c>
      <c r="P27" cm="1">
        <f t="array" ref="P27">_xlfn._xlws.FILTER(D:D, (A:A=$L27)*(B:B="AI")*(C:C="Appropriateness"))</f>
        <v>3</v>
      </c>
      <c r="Q27" cm="1">
        <f t="array" ref="Q27">_xlfn._xlws.FILTER(D:D, (A:A=$L27)*(B:B="AI")*(C:C="Relevance"))</f>
        <v>2</v>
      </c>
      <c r="R27">
        <f t="shared" si="16"/>
        <v>6</v>
      </c>
      <c r="S27">
        <f t="shared" si="17"/>
        <v>5</v>
      </c>
      <c r="U27" s="2">
        <v>17</v>
      </c>
      <c r="V27" cm="1">
        <f t="array" ref="V27">_xlfn._xlws.FILTER(D:D, (A:A=$U27)*(B:B="Therapist")*(C:C="Distress Check"))</f>
        <v>5</v>
      </c>
      <c r="W27" cm="1">
        <f t="array" ref="W27">_xlfn._xlws.FILTER(D:D, (A:A=$U27)*(B:B="Therapist")*(C:C="Writing Reflection"))</f>
        <v>5</v>
      </c>
      <c r="X27" cm="1">
        <f t="array" ref="X27">_xlfn._xlws.FILTER(D:D, (A:A=$U27)*(B:B="Therapist")*(C:C="Avoids Processing"))</f>
        <v>2</v>
      </c>
      <c r="Y27" cm="1">
        <f t="array" ref="Y27">_xlfn._xlws.FILTER(D:D, (A:A=$U27)*(B:B="Therapist")*(C:C="Appropriateness"))</f>
        <v>5</v>
      </c>
      <c r="Z27" cm="1">
        <f t="array" ref="Z27">_xlfn._xlws.FILTER(D:D, (A:A=$U27)*(B:B="Therapist")*(C:C="Relevance"))</f>
        <v>5</v>
      </c>
      <c r="AA27">
        <f t="shared" si="18"/>
        <v>10</v>
      </c>
      <c r="AB27">
        <f t="shared" si="19"/>
        <v>10</v>
      </c>
    </row>
    <row r="28" spans="1:28">
      <c r="A28">
        <v>16</v>
      </c>
      <c r="B28" t="str">
        <f t="shared" ref="B28:C28" si="22">B18</f>
        <v>Therapist</v>
      </c>
      <c r="C28" t="str">
        <f t="shared" si="22"/>
        <v>Writing Reflection</v>
      </c>
      <c r="D28">
        <v>4</v>
      </c>
      <c r="G28" s="2">
        <v>70</v>
      </c>
      <c r="H28">
        <f t="shared" si="0"/>
        <v>2.6666666666666665</v>
      </c>
      <c r="I28">
        <f t="shared" si="1"/>
        <v>3</v>
      </c>
      <c r="J28">
        <f t="shared" si="2"/>
        <v>1.2</v>
      </c>
      <c r="L28" s="2">
        <v>18</v>
      </c>
      <c r="M28" cm="1">
        <f t="array" ref="M28">_xlfn._xlws.FILTER(D:D, (A:A=$L28)*(B:B="AI")*(C:C="Distress Check"))</f>
        <v>2</v>
      </c>
      <c r="N28" cm="1">
        <f t="array" ref="N28">_xlfn._xlws.FILTER(D:D, (A:A=$L28)*(B:B="AI")*(C:C="Writing Reflection"))</f>
        <v>3</v>
      </c>
      <c r="O28" cm="1">
        <f t="array" ref="O28">_xlfn._xlws.FILTER(D:D, (A:A=$L28)*(B:B="AI")*(C:C="Avoids Processing"))</f>
        <v>2</v>
      </c>
      <c r="P28" cm="1">
        <f t="array" ref="P28">_xlfn._xlws.FILTER(D:D, (A:A=$L28)*(B:B="AI")*(C:C="Appropriateness"))</f>
        <v>4</v>
      </c>
      <c r="Q28" cm="1">
        <f t="array" ref="Q28">_xlfn._xlws.FILTER(D:D, (A:A=$L28)*(B:B="AI")*(C:C="Relevance"))</f>
        <v>4</v>
      </c>
      <c r="R28">
        <f t="shared" si="16"/>
        <v>5</v>
      </c>
      <c r="S28">
        <f t="shared" si="17"/>
        <v>8</v>
      </c>
      <c r="U28" s="2">
        <v>18</v>
      </c>
      <c r="V28" cm="1">
        <f t="array" ref="V28">_xlfn._xlws.FILTER(D:D, (A:A=$U28)*(B:B="Therapist")*(C:C="Distress Check"))</f>
        <v>5</v>
      </c>
      <c r="W28" cm="1">
        <f t="array" ref="W28">_xlfn._xlws.FILTER(D:D, (A:A=$U28)*(B:B="Therapist")*(C:C="Writing Reflection"))</f>
        <v>3</v>
      </c>
      <c r="X28" cm="1">
        <f t="array" ref="X28">_xlfn._xlws.FILTER(D:D, (A:A=$U28)*(B:B="Therapist")*(C:C="Avoids Processing"))</f>
        <v>4</v>
      </c>
      <c r="Y28" cm="1">
        <f t="array" ref="Y28">_xlfn._xlws.FILTER(D:D, (A:A=$U28)*(B:B="Therapist")*(C:C="Appropriateness"))</f>
        <v>5</v>
      </c>
      <c r="Z28" cm="1">
        <f t="array" ref="Z28">_xlfn._xlws.FILTER(D:D, (A:A=$U28)*(B:B="Therapist")*(C:C="Relevance"))</f>
        <v>2</v>
      </c>
      <c r="AA28">
        <f t="shared" si="18"/>
        <v>8</v>
      </c>
      <c r="AB28">
        <f t="shared" si="19"/>
        <v>7</v>
      </c>
    </row>
    <row r="29" spans="1:28">
      <c r="A29">
        <v>16</v>
      </c>
      <c r="B29" t="str">
        <f t="shared" ref="B29:C29" si="23">B19</f>
        <v>Therapist</v>
      </c>
      <c r="C29" t="str">
        <f t="shared" si="23"/>
        <v>Avoids Processing</v>
      </c>
      <c r="D29">
        <v>4</v>
      </c>
      <c r="G29" s="2">
        <v>73</v>
      </c>
      <c r="H29">
        <f t="shared" si="0"/>
        <v>2.6666666666666665</v>
      </c>
      <c r="I29">
        <f t="shared" si="1"/>
        <v>2</v>
      </c>
      <c r="J29">
        <f t="shared" si="2"/>
        <v>1.75</v>
      </c>
      <c r="L29" s="2">
        <v>20</v>
      </c>
      <c r="M29" cm="1">
        <f t="array" ref="M29">_xlfn._xlws.FILTER(D:D, (A:A=$L29)*(B:B="AI")*(C:C="Distress Check"))</f>
        <v>1</v>
      </c>
      <c r="N29" cm="1">
        <f t="array" ref="N29">_xlfn._xlws.FILTER(D:D, (A:A=$L29)*(B:B="AI")*(C:C="Writing Reflection"))</f>
        <v>3</v>
      </c>
      <c r="O29" cm="1">
        <f t="array" ref="O29">_xlfn._xlws.FILTER(D:D, (A:A=$L29)*(B:B="AI")*(C:C="Avoids Processing"))</f>
        <v>1</v>
      </c>
      <c r="P29" cm="1">
        <f t="array" ref="P29">_xlfn._xlws.FILTER(D:D, (A:A=$L29)*(B:B="AI")*(C:C="Appropriateness"))</f>
        <v>2</v>
      </c>
      <c r="Q29" cm="1">
        <f t="array" ref="Q29">_xlfn._xlws.FILTER(D:D, (A:A=$L29)*(B:B="AI")*(C:C="Relevance"))</f>
        <v>3</v>
      </c>
      <c r="R29">
        <f t="shared" si="16"/>
        <v>4</v>
      </c>
      <c r="S29">
        <f t="shared" si="17"/>
        <v>5</v>
      </c>
      <c r="U29" s="2">
        <v>20</v>
      </c>
      <c r="V29" cm="1">
        <f t="array" ref="V29">_xlfn._xlws.FILTER(D:D, (A:A=$U29)*(B:B="Therapist")*(C:C="Distress Check"))</f>
        <v>5</v>
      </c>
      <c r="W29" cm="1">
        <f t="array" ref="W29">_xlfn._xlws.FILTER(D:D, (A:A=$U29)*(B:B="Therapist")*(C:C="Writing Reflection"))</f>
        <v>4</v>
      </c>
      <c r="X29" cm="1">
        <f t="array" ref="X29">_xlfn._xlws.FILTER(D:D, (A:A=$U29)*(B:B="Therapist")*(C:C="Avoids Processing"))</f>
        <v>2</v>
      </c>
      <c r="Y29" cm="1">
        <f t="array" ref="Y29">_xlfn._xlws.FILTER(D:D, (A:A=$U29)*(B:B="Therapist")*(C:C="Appropriateness"))</f>
        <v>5</v>
      </c>
      <c r="Z29" cm="1">
        <f t="array" ref="Z29">_xlfn._xlws.FILTER(D:D, (A:A=$U29)*(B:B="Therapist")*(C:C="Relevance"))</f>
        <v>5</v>
      </c>
      <c r="AA29">
        <f t="shared" si="18"/>
        <v>9</v>
      </c>
      <c r="AB29">
        <f t="shared" si="19"/>
        <v>10</v>
      </c>
    </row>
    <row r="30" spans="1:28">
      <c r="A30">
        <v>16</v>
      </c>
      <c r="B30" t="str">
        <f t="shared" ref="B30:C30" si="24">B20</f>
        <v>Therapist</v>
      </c>
      <c r="C30" t="str">
        <f t="shared" si="24"/>
        <v>Appropriateness</v>
      </c>
      <c r="D30">
        <v>5</v>
      </c>
      <c r="G30" s="2">
        <v>76</v>
      </c>
      <c r="H30">
        <f t="shared" si="0"/>
        <v>2.3333333333333335</v>
      </c>
      <c r="I30">
        <f t="shared" si="1"/>
        <v>2</v>
      </c>
      <c r="J30">
        <f t="shared" si="2"/>
        <v>1.75</v>
      </c>
      <c r="L30" s="2">
        <v>23</v>
      </c>
      <c r="M30" cm="1">
        <f t="array" ref="M30">_xlfn._xlws.FILTER(D:D, (A:A=$L30)*(B:B="AI")*(C:C="Distress Check"))</f>
        <v>2</v>
      </c>
      <c r="N30" cm="1">
        <f t="array" ref="N30">_xlfn._xlws.FILTER(D:D, (A:A=$L30)*(B:B="AI")*(C:C="Writing Reflection"))</f>
        <v>4</v>
      </c>
      <c r="O30" cm="1">
        <f t="array" ref="O30">_xlfn._xlws.FILTER(D:D, (A:A=$L30)*(B:B="AI")*(C:C="Avoids Processing"))</f>
        <v>1</v>
      </c>
      <c r="P30" cm="1">
        <f t="array" ref="P30">_xlfn._xlws.FILTER(D:D, (A:A=$L30)*(B:B="AI")*(C:C="Appropriateness"))</f>
        <v>4</v>
      </c>
      <c r="Q30" cm="1">
        <f t="array" ref="Q30">_xlfn._xlws.FILTER(D:D, (A:A=$L30)*(B:B="AI")*(C:C="Relevance"))</f>
        <v>5</v>
      </c>
      <c r="R30">
        <f t="shared" si="16"/>
        <v>6</v>
      </c>
      <c r="S30">
        <f t="shared" si="17"/>
        <v>9</v>
      </c>
      <c r="U30" s="2">
        <v>23</v>
      </c>
      <c r="V30" cm="1">
        <f t="array" ref="V30">_xlfn._xlws.FILTER(D:D, (A:A=$U30)*(B:B="Therapist")*(C:C="Distress Check"))</f>
        <v>5</v>
      </c>
      <c r="W30" cm="1">
        <f t="array" ref="W30">_xlfn._xlws.FILTER(D:D, (A:A=$U30)*(B:B="Therapist")*(C:C="Writing Reflection"))</f>
        <v>5</v>
      </c>
      <c r="X30" cm="1">
        <f t="array" ref="X30">_xlfn._xlws.FILTER(D:D, (A:A=$U30)*(B:B="Therapist")*(C:C="Avoids Processing"))</f>
        <v>3</v>
      </c>
      <c r="Y30" cm="1">
        <f t="array" ref="Y30">_xlfn._xlws.FILTER(D:D, (A:A=$U30)*(B:B="Therapist")*(C:C="Appropriateness"))</f>
        <v>5</v>
      </c>
      <c r="Z30" cm="1">
        <f t="array" ref="Z30">_xlfn._xlws.FILTER(D:D, (A:A=$U30)*(B:B="Therapist")*(C:C="Relevance"))</f>
        <v>5</v>
      </c>
      <c r="AA30">
        <f t="shared" si="18"/>
        <v>10</v>
      </c>
      <c r="AB30">
        <f t="shared" si="19"/>
        <v>10</v>
      </c>
    </row>
    <row r="31" spans="1:28">
      <c r="A31">
        <v>16</v>
      </c>
      <c r="B31" t="str">
        <f t="shared" ref="B31:C31" si="25">B21</f>
        <v>Therapist</v>
      </c>
      <c r="C31" t="str">
        <f t="shared" si="25"/>
        <v>Relevance</v>
      </c>
      <c r="D31">
        <v>5</v>
      </c>
      <c r="G31" s="2">
        <v>85</v>
      </c>
      <c r="H31">
        <f t="shared" si="0"/>
        <v>3.3333333333333335</v>
      </c>
      <c r="I31">
        <f t="shared" si="1"/>
        <v>2</v>
      </c>
      <c r="J31">
        <f t="shared" si="2"/>
        <v>2</v>
      </c>
      <c r="L31" s="2">
        <v>25</v>
      </c>
      <c r="M31" cm="1">
        <f t="array" ref="M31">_xlfn._xlws.FILTER(D:D, (A:A=$L31)*(B:B="AI")*(C:C="Distress Check"))</f>
        <v>2</v>
      </c>
      <c r="N31" cm="1">
        <f t="array" ref="N31">_xlfn._xlws.FILTER(D:D, (A:A=$L31)*(B:B="AI")*(C:C="Writing Reflection"))</f>
        <v>3</v>
      </c>
      <c r="O31" cm="1">
        <f t="array" ref="O31">_xlfn._xlws.FILTER(D:D, (A:A=$L31)*(B:B="AI")*(C:C="Avoids Processing"))</f>
        <v>1</v>
      </c>
      <c r="P31" cm="1">
        <f t="array" ref="P31">_xlfn._xlws.FILTER(D:D, (A:A=$L31)*(B:B="AI")*(C:C="Appropriateness"))</f>
        <v>3</v>
      </c>
      <c r="Q31" cm="1">
        <f t="array" ref="Q31">_xlfn._xlws.FILTER(D:D, (A:A=$L31)*(B:B="AI")*(C:C="Relevance"))</f>
        <v>4</v>
      </c>
      <c r="R31">
        <f t="shared" si="16"/>
        <v>5</v>
      </c>
      <c r="S31">
        <f t="shared" si="17"/>
        <v>7</v>
      </c>
      <c r="U31" s="2">
        <v>25</v>
      </c>
      <c r="V31" cm="1">
        <f t="array" ref="V31">_xlfn._xlws.FILTER(D:D, (A:A=$U31)*(B:B="Therapist")*(C:C="Distress Check"))</f>
        <v>5</v>
      </c>
      <c r="W31" cm="1">
        <f t="array" ref="W31">_xlfn._xlws.FILTER(D:D, (A:A=$U31)*(B:B="Therapist")*(C:C="Writing Reflection"))</f>
        <v>4</v>
      </c>
      <c r="X31" cm="1">
        <f t="array" ref="X31">_xlfn._xlws.FILTER(D:D, (A:A=$U31)*(B:B="Therapist")*(C:C="Avoids Processing"))</f>
        <v>5</v>
      </c>
      <c r="Y31" cm="1">
        <f t="array" ref="Y31">_xlfn._xlws.FILTER(D:D, (A:A=$U31)*(B:B="Therapist")*(C:C="Appropriateness"))</f>
        <v>4</v>
      </c>
      <c r="Z31" cm="1">
        <f t="array" ref="Z31">_xlfn._xlws.FILTER(D:D, (A:A=$U31)*(B:B="Therapist")*(C:C="Relevance"))</f>
        <v>5</v>
      </c>
      <c r="AA31">
        <f t="shared" si="18"/>
        <v>9</v>
      </c>
      <c r="AB31">
        <f t="shared" si="19"/>
        <v>9</v>
      </c>
    </row>
    <row r="32" spans="1:28">
      <c r="A32">
        <v>17</v>
      </c>
      <c r="B32" t="str">
        <f t="shared" ref="B32:C32" si="26">B22</f>
        <v>AI</v>
      </c>
      <c r="C32" t="str">
        <f t="shared" si="26"/>
        <v>Distress Check</v>
      </c>
      <c r="D32">
        <v>2</v>
      </c>
      <c r="G32" s="2">
        <v>87</v>
      </c>
      <c r="H32">
        <f t="shared" si="0"/>
        <v>1.75</v>
      </c>
      <c r="I32">
        <f t="shared" si="1"/>
        <v>3</v>
      </c>
      <c r="J32">
        <f t="shared" si="2"/>
        <v>1.6</v>
      </c>
      <c r="L32" s="2">
        <v>28</v>
      </c>
      <c r="M32" cm="1">
        <f t="array" ref="M32">_xlfn._xlws.FILTER(D:D, (A:A=$L32)*(B:B="AI")*(C:C="Distress Check"))</f>
        <v>2</v>
      </c>
      <c r="N32" cm="1">
        <f t="array" ref="N32">_xlfn._xlws.FILTER(D:D, (A:A=$L32)*(B:B="AI")*(C:C="Writing Reflection"))</f>
        <v>3</v>
      </c>
      <c r="O32" cm="1">
        <f t="array" ref="O32">_xlfn._xlws.FILTER(D:D, (A:A=$L32)*(B:B="AI")*(C:C="Avoids Processing"))</f>
        <v>1</v>
      </c>
      <c r="P32" cm="1">
        <f t="array" ref="P32">_xlfn._xlws.FILTER(D:D, (A:A=$L32)*(B:B="AI")*(C:C="Appropriateness"))</f>
        <v>4</v>
      </c>
      <c r="Q32" cm="1">
        <f t="array" ref="Q32">_xlfn._xlws.FILTER(D:D, (A:A=$L32)*(B:B="AI")*(C:C="Relevance"))</f>
        <v>5</v>
      </c>
      <c r="R32">
        <f t="shared" si="16"/>
        <v>5</v>
      </c>
      <c r="S32">
        <f t="shared" si="17"/>
        <v>9</v>
      </c>
      <c r="U32" s="2">
        <v>28</v>
      </c>
      <c r="V32" cm="1">
        <f t="array" ref="V32">_xlfn._xlws.FILTER(D:D, (A:A=$U32)*(B:B="Therapist")*(C:C="Distress Check"))</f>
        <v>5</v>
      </c>
      <c r="W32" cm="1">
        <f t="array" ref="W32">_xlfn._xlws.FILTER(D:D, (A:A=$U32)*(B:B="Therapist")*(C:C="Writing Reflection"))</f>
        <v>4</v>
      </c>
      <c r="X32" cm="1">
        <f t="array" ref="X32">_xlfn._xlws.FILTER(D:D, (A:A=$U32)*(B:B="Therapist")*(C:C="Avoids Processing"))</f>
        <v>3</v>
      </c>
      <c r="Y32" cm="1">
        <f t="array" ref="Y32">_xlfn._xlws.FILTER(D:D, (A:A=$U32)*(B:B="Therapist")*(C:C="Appropriateness"))</f>
        <v>5</v>
      </c>
      <c r="Z32" cm="1">
        <f t="array" ref="Z32">_xlfn._xlws.FILTER(D:D, (A:A=$U32)*(B:B="Therapist")*(C:C="Relevance"))</f>
        <v>5</v>
      </c>
      <c r="AA32">
        <f t="shared" si="18"/>
        <v>9</v>
      </c>
      <c r="AB32">
        <f t="shared" si="19"/>
        <v>10</v>
      </c>
    </row>
    <row r="33" spans="1:28">
      <c r="A33">
        <v>17</v>
      </c>
      <c r="B33" t="str">
        <f t="shared" ref="B33:C33" si="27">B23</f>
        <v>AI</v>
      </c>
      <c r="C33" t="str">
        <f t="shared" si="27"/>
        <v>Writing Reflection</v>
      </c>
      <c r="D33">
        <v>4</v>
      </c>
      <c r="G33" s="2">
        <v>88</v>
      </c>
      <c r="H33">
        <f t="shared" si="0"/>
        <v>2.6666666666666665</v>
      </c>
      <c r="I33">
        <f t="shared" si="1"/>
        <v>3</v>
      </c>
      <c r="J33">
        <f t="shared" si="2"/>
        <v>3</v>
      </c>
      <c r="L33" s="2">
        <v>31</v>
      </c>
      <c r="M33" cm="1">
        <f t="array" ref="M33">_xlfn._xlws.FILTER(D:D, (A:A=$L33)*(B:B="AI")*(C:C="Distress Check"))</f>
        <v>2</v>
      </c>
      <c r="N33" cm="1">
        <f t="array" ref="N33">_xlfn._xlws.FILTER(D:D, (A:A=$L33)*(B:B="AI")*(C:C="Writing Reflection"))</f>
        <v>2</v>
      </c>
      <c r="O33" cm="1">
        <f t="array" ref="O33">_xlfn._xlws.FILTER(D:D, (A:A=$L33)*(B:B="AI")*(C:C="Avoids Processing"))</f>
        <v>1</v>
      </c>
      <c r="P33" cm="1">
        <f t="array" ref="P33">_xlfn._xlws.FILTER(D:D, (A:A=$L33)*(B:B="AI")*(C:C="Appropriateness"))</f>
        <v>2</v>
      </c>
      <c r="Q33" cm="1">
        <f t="array" ref="Q33">_xlfn._xlws.FILTER(D:D, (A:A=$L33)*(B:B="AI")*(C:C="Relevance"))</f>
        <v>5</v>
      </c>
      <c r="R33">
        <f t="shared" si="16"/>
        <v>4</v>
      </c>
      <c r="S33">
        <f t="shared" si="17"/>
        <v>7</v>
      </c>
      <c r="U33" s="2">
        <v>31</v>
      </c>
      <c r="V33" cm="1">
        <f t="array" ref="V33">_xlfn._xlws.FILTER(D:D, (A:A=$U33)*(B:B="Therapist")*(C:C="Distress Check"))</f>
        <v>5</v>
      </c>
      <c r="W33" cm="1">
        <f t="array" ref="W33">_xlfn._xlws.FILTER(D:D, (A:A=$U33)*(B:B="Therapist")*(C:C="Writing Reflection"))</f>
        <v>4</v>
      </c>
      <c r="X33" cm="1">
        <f t="array" ref="X33">_xlfn._xlws.FILTER(D:D, (A:A=$U33)*(B:B="Therapist")*(C:C="Avoids Processing"))</f>
        <v>5</v>
      </c>
      <c r="Y33" cm="1">
        <f t="array" ref="Y33">_xlfn._xlws.FILTER(D:D, (A:A=$U33)*(B:B="Therapist")*(C:C="Appropriateness"))</f>
        <v>5</v>
      </c>
      <c r="Z33" cm="1">
        <f t="array" ref="Z33">_xlfn._xlws.FILTER(D:D, (A:A=$U33)*(B:B="Therapist")*(C:C="Relevance"))</f>
        <v>2</v>
      </c>
      <c r="AA33">
        <f t="shared" si="18"/>
        <v>9</v>
      </c>
      <c r="AB33">
        <f t="shared" si="19"/>
        <v>7</v>
      </c>
    </row>
    <row r="34" spans="1:28">
      <c r="A34">
        <v>17</v>
      </c>
      <c r="B34" t="str">
        <f t="shared" ref="B34:C34" si="28">B24</f>
        <v>AI</v>
      </c>
      <c r="C34" t="str">
        <f t="shared" si="28"/>
        <v>Avoids Processing</v>
      </c>
      <c r="D34">
        <v>1</v>
      </c>
      <c r="G34" s="2">
        <v>90</v>
      </c>
      <c r="H34">
        <f t="shared" ref="H34:H50" si="29">(SUMIFS($D:$D,$A:$A,$G34,$B:$B,"Therapist",$C:$C,"Distress Check")+SUMIFS($D:$D,$A:$A,$G34,$B:$B,"Therapist",$C:$C,"Writing Reflection"))/(SUMIFS($D:$D,$A:$A,$G34,$B:$B,"AI",$C:$C,"Distress Check")+SUMIFS($D:$D,$A:$A,$G34,$B:$B,"AI",$C:$C,"Writing Reflection"))</f>
        <v>1.75</v>
      </c>
      <c r="I34">
        <f t="shared" ref="I34:I50" si="30">(SUMIFS($D:$D,$A:$A,$G34,$B:$B,"Therapist",$C:$C,"Avoids Processing"))/(SUMIFS($D:$D,$A:$A,$G34,$B:$B,"AI",$C:$C,"Avoids Processing"))</f>
        <v>3</v>
      </c>
      <c r="J34">
        <f t="shared" ref="J34:J50" si="31">(SUMIFS($D:$D,$A:$A,$G34,$B:$B,"Therapist",$C:$C,"Appropriateness")+SUMIFS($D:$D,$A:$A,$G34,$B:$B,"Therapist",$C:$C,"Relevance"))/(SUMIFS($D:$D,$A:$A,$G34,$B:$B,"AI",$C:$C,"Appropriateness")+SUMIFS($D:$D,$A:$A,$G34,$B:$B,"AI",$C:$C,"Relevance"))</f>
        <v>2</v>
      </c>
      <c r="L34" s="2">
        <v>32</v>
      </c>
      <c r="M34" cm="1">
        <f t="array" ref="M34">_xlfn._xlws.FILTER(D:D, (A:A=$L34)*(B:B="AI")*(C:C="Distress Check"))</f>
        <v>3</v>
      </c>
      <c r="N34" cm="1">
        <f t="array" ref="N34">_xlfn._xlws.FILTER(D:D, (A:A=$L34)*(B:B="AI")*(C:C="Writing Reflection"))</f>
        <v>2</v>
      </c>
      <c r="O34" cm="1">
        <f t="array" ref="O34">_xlfn._xlws.FILTER(D:D, (A:A=$L34)*(B:B="AI")*(C:C="Avoids Processing"))</f>
        <v>1</v>
      </c>
      <c r="P34" cm="1">
        <f t="array" ref="P34">_xlfn._xlws.FILTER(D:D, (A:A=$L34)*(B:B="AI")*(C:C="Appropriateness"))</f>
        <v>2</v>
      </c>
      <c r="Q34" cm="1">
        <f t="array" ref="Q34">_xlfn._xlws.FILTER(D:D, (A:A=$L34)*(B:B="AI")*(C:C="Relevance"))</f>
        <v>2</v>
      </c>
      <c r="R34">
        <f t="shared" si="16"/>
        <v>5</v>
      </c>
      <c r="S34">
        <f t="shared" si="17"/>
        <v>4</v>
      </c>
      <c r="U34" s="2">
        <v>32</v>
      </c>
      <c r="V34" cm="1">
        <f t="array" ref="V34">_xlfn._xlws.FILTER(D:D, (A:A=$U34)*(B:B="Therapist")*(C:C="Distress Check"))</f>
        <v>5</v>
      </c>
      <c r="W34" cm="1">
        <f t="array" ref="W34">_xlfn._xlws.FILTER(D:D, (A:A=$U34)*(B:B="Therapist")*(C:C="Writing Reflection"))</f>
        <v>5</v>
      </c>
      <c r="X34" cm="1">
        <f t="array" ref="X34">_xlfn._xlws.FILTER(D:D, (A:A=$U34)*(B:B="Therapist")*(C:C="Avoids Processing"))</f>
        <v>4</v>
      </c>
      <c r="Y34" cm="1">
        <f t="array" ref="Y34">_xlfn._xlws.FILTER(D:D, (A:A=$U34)*(B:B="Therapist")*(C:C="Appropriateness"))</f>
        <v>5</v>
      </c>
      <c r="Z34" cm="1">
        <f t="array" ref="Z34">_xlfn._xlws.FILTER(D:D, (A:A=$U34)*(B:B="Therapist")*(C:C="Relevance"))</f>
        <v>5</v>
      </c>
      <c r="AA34">
        <f t="shared" si="18"/>
        <v>10</v>
      </c>
      <c r="AB34">
        <f t="shared" si="19"/>
        <v>10</v>
      </c>
    </row>
    <row r="35" spans="1:28">
      <c r="A35">
        <v>17</v>
      </c>
      <c r="B35" t="str">
        <f t="shared" ref="B35:C35" si="32">B25</f>
        <v>AI</v>
      </c>
      <c r="C35" t="str">
        <f t="shared" si="32"/>
        <v>Appropriateness</v>
      </c>
      <c r="D35">
        <v>3</v>
      </c>
      <c r="E35" t="s">
        <v>23</v>
      </c>
      <c r="G35" s="2">
        <v>91</v>
      </c>
      <c r="H35">
        <f t="shared" si="29"/>
        <v>1.75</v>
      </c>
      <c r="I35">
        <f t="shared" si="30"/>
        <v>3</v>
      </c>
      <c r="J35">
        <f t="shared" si="31"/>
        <v>2.6666666666666665</v>
      </c>
      <c r="L35" s="2">
        <v>33</v>
      </c>
      <c r="M35" cm="1">
        <f t="array" ref="M35">_xlfn._xlws.FILTER(D:D, (A:A=$L35)*(B:B="AI")*(C:C="Distress Check"))</f>
        <v>2</v>
      </c>
      <c r="N35" cm="1">
        <f t="array" ref="N35">_xlfn._xlws.FILTER(D:D, (A:A=$L35)*(B:B="AI")*(C:C="Writing Reflection"))</f>
        <v>2</v>
      </c>
      <c r="O35" cm="1">
        <f t="array" ref="O35">_xlfn._xlws.FILTER(D:D, (A:A=$L35)*(B:B="AI")*(C:C="Avoids Processing"))</f>
        <v>1</v>
      </c>
      <c r="P35" cm="1">
        <f t="array" ref="P35">_xlfn._xlws.FILTER(D:D, (A:A=$L35)*(B:B="AI")*(C:C="Appropriateness"))</f>
        <v>4</v>
      </c>
      <c r="Q35" cm="1">
        <f t="array" ref="Q35">_xlfn._xlws.FILTER(D:D, (A:A=$L35)*(B:B="AI")*(C:C="Relevance"))</f>
        <v>3</v>
      </c>
      <c r="R35">
        <f t="shared" si="16"/>
        <v>4</v>
      </c>
      <c r="S35">
        <f t="shared" si="17"/>
        <v>7</v>
      </c>
      <c r="U35" s="2">
        <v>33</v>
      </c>
      <c r="V35" cm="1">
        <f t="array" ref="V35">_xlfn._xlws.FILTER(D:D, (A:A=$U35)*(B:B="Therapist")*(C:C="Distress Check"))</f>
        <v>4</v>
      </c>
      <c r="W35" cm="1">
        <f t="array" ref="W35">_xlfn._xlws.FILTER(D:D, (A:A=$U35)*(B:B="Therapist")*(C:C="Writing Reflection"))</f>
        <v>2</v>
      </c>
      <c r="X35" cm="1">
        <f t="array" ref="X35">_xlfn._xlws.FILTER(D:D, (A:A=$U35)*(B:B="Therapist")*(C:C="Avoids Processing"))</f>
        <v>5</v>
      </c>
      <c r="Y35" cm="1">
        <f t="array" ref="Y35">_xlfn._xlws.FILTER(D:D, (A:A=$U35)*(B:B="Therapist")*(C:C="Appropriateness"))</f>
        <v>5</v>
      </c>
      <c r="Z35" cm="1">
        <f t="array" ref="Z35">_xlfn._xlws.FILTER(D:D, (A:A=$U35)*(B:B="Therapist")*(C:C="Relevance"))</f>
        <v>3</v>
      </c>
      <c r="AA35">
        <f t="shared" si="18"/>
        <v>6</v>
      </c>
      <c r="AB35">
        <f t="shared" si="19"/>
        <v>8</v>
      </c>
    </row>
    <row r="36" spans="1:28">
      <c r="A36">
        <v>17</v>
      </c>
      <c r="B36" t="str">
        <f t="shared" ref="B36:C36" si="33">B26</f>
        <v>AI</v>
      </c>
      <c r="C36" t="str">
        <f t="shared" si="33"/>
        <v>Relevance</v>
      </c>
      <c r="D36">
        <v>2</v>
      </c>
      <c r="E36" t="s">
        <v>19</v>
      </c>
      <c r="G36" s="2">
        <v>92</v>
      </c>
      <c r="H36">
        <f t="shared" si="29"/>
        <v>1.25</v>
      </c>
      <c r="I36">
        <f t="shared" si="30"/>
        <v>5</v>
      </c>
      <c r="J36">
        <f t="shared" si="31"/>
        <v>1.3333333333333333</v>
      </c>
      <c r="L36" s="2">
        <v>34</v>
      </c>
      <c r="M36" cm="1">
        <f t="array" ref="M36">_xlfn._xlws.FILTER(D:D, (A:A=$L36)*(B:B="AI")*(C:C="Distress Check"))</f>
        <v>2</v>
      </c>
      <c r="N36" cm="1">
        <f t="array" ref="N36">_xlfn._xlws.FILTER(D:D, (A:A=$L36)*(B:B="AI")*(C:C="Writing Reflection"))</f>
        <v>3</v>
      </c>
      <c r="O36" cm="1">
        <f t="array" ref="O36">_xlfn._xlws.FILTER(D:D, (A:A=$L36)*(B:B="AI")*(C:C="Avoids Processing"))</f>
        <v>1</v>
      </c>
      <c r="P36" cm="1">
        <f t="array" ref="P36">_xlfn._xlws.FILTER(D:D, (A:A=$L36)*(B:B="AI")*(C:C="Appropriateness"))</f>
        <v>2</v>
      </c>
      <c r="Q36" cm="1">
        <f t="array" ref="Q36">_xlfn._xlws.FILTER(D:D, (A:A=$L36)*(B:B="AI")*(C:C="Relevance"))</f>
        <v>2</v>
      </c>
      <c r="R36">
        <f t="shared" si="16"/>
        <v>5</v>
      </c>
      <c r="S36">
        <f t="shared" si="17"/>
        <v>4</v>
      </c>
      <c r="U36" s="2">
        <v>34</v>
      </c>
      <c r="V36" cm="1">
        <f t="array" ref="V36">_xlfn._xlws.FILTER(D:D, (A:A=$U36)*(B:B="Therapist")*(C:C="Distress Check"))</f>
        <v>4</v>
      </c>
      <c r="W36" cm="1">
        <f t="array" ref="W36">_xlfn._xlws.FILTER(D:D, (A:A=$U36)*(B:B="Therapist")*(C:C="Writing Reflection"))</f>
        <v>4</v>
      </c>
      <c r="X36" cm="1">
        <f t="array" ref="X36">_xlfn._xlws.FILTER(D:D, (A:A=$U36)*(B:B="Therapist")*(C:C="Avoids Processing"))</f>
        <v>5</v>
      </c>
      <c r="Y36" cm="1">
        <f t="array" ref="Y36">_xlfn._xlws.FILTER(D:D, (A:A=$U36)*(B:B="Therapist")*(C:C="Appropriateness"))</f>
        <v>5</v>
      </c>
      <c r="Z36" cm="1">
        <f t="array" ref="Z36">_xlfn._xlws.FILTER(D:D, (A:A=$U36)*(B:B="Therapist")*(C:C="Relevance"))</f>
        <v>2</v>
      </c>
      <c r="AA36">
        <f t="shared" si="18"/>
        <v>8</v>
      </c>
      <c r="AB36">
        <f t="shared" si="19"/>
        <v>7</v>
      </c>
    </row>
    <row r="37" spans="1:28">
      <c r="A37">
        <v>17</v>
      </c>
      <c r="B37" t="str">
        <f t="shared" ref="B37:C37" si="34">B27</f>
        <v>Therapist</v>
      </c>
      <c r="C37" t="str">
        <f t="shared" si="34"/>
        <v>Distress Check</v>
      </c>
      <c r="D37">
        <v>5</v>
      </c>
      <c r="G37" s="2">
        <v>96</v>
      </c>
      <c r="H37">
        <f t="shared" si="29"/>
        <v>2</v>
      </c>
      <c r="I37">
        <f t="shared" si="30"/>
        <v>3</v>
      </c>
      <c r="J37">
        <f t="shared" si="31"/>
        <v>1.75</v>
      </c>
      <c r="L37" s="2">
        <v>36</v>
      </c>
      <c r="M37" cm="1">
        <f t="array" ref="M37">_xlfn._xlws.FILTER(D:D, (A:A=$L37)*(B:B="AI")*(C:C="Distress Check"))</f>
        <v>2</v>
      </c>
      <c r="N37" cm="1">
        <f t="array" ref="N37">_xlfn._xlws.FILTER(D:D, (A:A=$L37)*(B:B="AI")*(C:C="Writing Reflection"))</f>
        <v>3</v>
      </c>
      <c r="O37" cm="1">
        <f t="array" ref="O37">_xlfn._xlws.FILTER(D:D, (A:A=$L37)*(B:B="AI")*(C:C="Avoids Processing"))</f>
        <v>1</v>
      </c>
      <c r="P37" cm="1">
        <f t="array" ref="P37">_xlfn._xlws.FILTER(D:D, (A:A=$L37)*(B:B="AI")*(C:C="Appropriateness"))</f>
        <v>2</v>
      </c>
      <c r="Q37" cm="1">
        <f t="array" ref="Q37">_xlfn._xlws.FILTER(D:D, (A:A=$L37)*(B:B="AI")*(C:C="Relevance"))</f>
        <v>2</v>
      </c>
      <c r="R37">
        <f t="shared" si="16"/>
        <v>5</v>
      </c>
      <c r="S37">
        <f t="shared" si="17"/>
        <v>4</v>
      </c>
      <c r="U37" s="2">
        <v>36</v>
      </c>
      <c r="V37" cm="1">
        <f t="array" ref="V37">_xlfn._xlws.FILTER(D:D, (A:A=$U37)*(B:B="Therapist")*(C:C="Distress Check"))</f>
        <v>5</v>
      </c>
      <c r="W37" cm="1">
        <f t="array" ref="W37">_xlfn._xlws.FILTER(D:D, (A:A=$U37)*(B:B="Therapist")*(C:C="Writing Reflection"))</f>
        <v>4</v>
      </c>
      <c r="X37" cm="1">
        <f t="array" ref="X37">_xlfn._xlws.FILTER(D:D, (A:A=$U37)*(B:B="Therapist")*(C:C="Avoids Processing"))</f>
        <v>3</v>
      </c>
      <c r="Y37" cm="1">
        <f t="array" ref="Y37">_xlfn._xlws.FILTER(D:D, (A:A=$U37)*(B:B="Therapist")*(C:C="Appropriateness"))</f>
        <v>5</v>
      </c>
      <c r="Z37" cm="1">
        <f t="array" ref="Z37">_xlfn._xlws.FILTER(D:D, (A:A=$U37)*(B:B="Therapist")*(C:C="Relevance"))</f>
        <v>4</v>
      </c>
      <c r="AA37">
        <f t="shared" si="18"/>
        <v>9</v>
      </c>
      <c r="AB37">
        <f t="shared" si="19"/>
        <v>9</v>
      </c>
    </row>
    <row r="38" spans="1:28">
      <c r="A38">
        <v>17</v>
      </c>
      <c r="B38" t="str">
        <f t="shared" ref="B38:C38" si="35">B28</f>
        <v>Therapist</v>
      </c>
      <c r="C38" t="str">
        <f t="shared" si="35"/>
        <v>Writing Reflection</v>
      </c>
      <c r="D38">
        <v>5</v>
      </c>
      <c r="G38" s="2">
        <v>97</v>
      </c>
      <c r="H38">
        <f t="shared" si="29"/>
        <v>1.4</v>
      </c>
      <c r="I38">
        <f t="shared" si="30"/>
        <v>5</v>
      </c>
      <c r="J38">
        <f t="shared" si="31"/>
        <v>2</v>
      </c>
      <c r="L38" s="2">
        <v>38</v>
      </c>
      <c r="M38" cm="1">
        <f t="array" ref="M38">_xlfn._xlws.FILTER(D:D, (A:A=$L38)*(B:B="AI")*(C:C="Distress Check"))</f>
        <v>2</v>
      </c>
      <c r="N38" cm="1">
        <f t="array" ref="N38">_xlfn._xlws.FILTER(D:D, (A:A=$L38)*(B:B="AI")*(C:C="Writing Reflection"))</f>
        <v>2</v>
      </c>
      <c r="O38" cm="1">
        <f t="array" ref="O38">_xlfn._xlws.FILTER(D:D, (A:A=$L38)*(B:B="AI")*(C:C="Avoids Processing"))</f>
        <v>1</v>
      </c>
      <c r="P38" cm="1">
        <f t="array" ref="P38">_xlfn._xlws.FILTER(D:D, (A:A=$L38)*(B:B="AI")*(C:C="Appropriateness"))</f>
        <v>3</v>
      </c>
      <c r="Q38" cm="1">
        <f t="array" ref="Q38">_xlfn._xlws.FILTER(D:D, (A:A=$L38)*(B:B="AI")*(C:C="Relevance"))</f>
        <v>2</v>
      </c>
      <c r="R38">
        <f t="shared" si="16"/>
        <v>4</v>
      </c>
      <c r="S38">
        <f t="shared" si="17"/>
        <v>5</v>
      </c>
      <c r="U38" s="2">
        <v>38</v>
      </c>
      <c r="V38" cm="1">
        <f t="array" ref="V38">_xlfn._xlws.FILTER(D:D, (A:A=$U38)*(B:B="Therapist")*(C:C="Distress Check"))</f>
        <v>2</v>
      </c>
      <c r="W38" cm="1">
        <f t="array" ref="W38">_xlfn._xlws.FILTER(D:D, (A:A=$U38)*(B:B="Therapist")*(C:C="Writing Reflection"))</f>
        <v>4</v>
      </c>
      <c r="X38" cm="1">
        <f t="array" ref="X38">_xlfn._xlws.FILTER(D:D, (A:A=$U38)*(B:B="Therapist")*(C:C="Avoids Processing"))</f>
        <v>2</v>
      </c>
      <c r="Y38" cm="1">
        <f t="array" ref="Y38">_xlfn._xlws.FILTER(D:D, (A:A=$U38)*(B:B="Therapist")*(C:C="Appropriateness"))</f>
        <v>5</v>
      </c>
      <c r="Z38" cm="1">
        <f t="array" ref="Z38">_xlfn._xlws.FILTER(D:D, (A:A=$U38)*(B:B="Therapist")*(C:C="Relevance"))</f>
        <v>2</v>
      </c>
      <c r="AA38">
        <f t="shared" si="18"/>
        <v>6</v>
      </c>
      <c r="AB38">
        <f t="shared" si="19"/>
        <v>7</v>
      </c>
    </row>
    <row r="39" spans="1:28">
      <c r="A39">
        <v>17</v>
      </c>
      <c r="B39" t="str">
        <f t="shared" ref="B39:C39" si="36">B29</f>
        <v>Therapist</v>
      </c>
      <c r="C39" t="str">
        <f t="shared" si="36"/>
        <v>Avoids Processing</v>
      </c>
      <c r="D39">
        <v>2</v>
      </c>
      <c r="G39" s="2">
        <v>101</v>
      </c>
      <c r="H39">
        <f t="shared" si="29"/>
        <v>2</v>
      </c>
      <c r="I39">
        <f t="shared" si="30"/>
        <v>3</v>
      </c>
      <c r="J39">
        <f t="shared" si="31"/>
        <v>2.25</v>
      </c>
      <c r="L39" s="2">
        <v>42</v>
      </c>
      <c r="M39" cm="1">
        <f t="array" ref="M39">_xlfn._xlws.FILTER(D:D, (A:A=$L39)*(B:B="AI")*(C:C="Distress Check"))</f>
        <v>1</v>
      </c>
      <c r="N39" cm="1">
        <f t="array" ref="N39">_xlfn._xlws.FILTER(D:D, (A:A=$L39)*(B:B="AI")*(C:C="Writing Reflection"))</f>
        <v>2</v>
      </c>
      <c r="O39" cm="1">
        <f t="array" ref="O39">_xlfn._xlws.FILTER(D:D, (A:A=$L39)*(B:B="AI")*(C:C="Avoids Processing"))</f>
        <v>1</v>
      </c>
      <c r="P39" cm="1">
        <f t="array" ref="P39">_xlfn._xlws.FILTER(D:D, (A:A=$L39)*(B:B="AI")*(C:C="Appropriateness"))</f>
        <v>4</v>
      </c>
      <c r="Q39" cm="1">
        <f t="array" ref="Q39">_xlfn._xlws.FILTER(D:D, (A:A=$L39)*(B:B="AI")*(C:C="Relevance"))</f>
        <v>2</v>
      </c>
      <c r="R39">
        <f t="shared" si="16"/>
        <v>3</v>
      </c>
      <c r="S39">
        <f t="shared" si="17"/>
        <v>6</v>
      </c>
      <c r="U39" s="2">
        <v>42</v>
      </c>
      <c r="V39" cm="1">
        <f t="array" ref="V39">_xlfn._xlws.FILTER(D:D, (A:A=$U39)*(B:B="Therapist")*(C:C="Distress Check"))</f>
        <v>2</v>
      </c>
      <c r="W39" cm="1">
        <f t="array" ref="W39">_xlfn._xlws.FILTER(D:D, (A:A=$U39)*(B:B="Therapist")*(C:C="Writing Reflection"))</f>
        <v>5</v>
      </c>
      <c r="X39" cm="1">
        <f t="array" ref="X39">_xlfn._xlws.FILTER(D:D, (A:A=$U39)*(B:B="Therapist")*(C:C="Avoids Processing"))</f>
        <v>5</v>
      </c>
      <c r="Y39" cm="1">
        <f t="array" ref="Y39">_xlfn._xlws.FILTER(D:D, (A:A=$U39)*(B:B="Therapist")*(C:C="Appropriateness"))</f>
        <v>5</v>
      </c>
      <c r="Z39" cm="1">
        <f t="array" ref="Z39">_xlfn._xlws.FILTER(D:D, (A:A=$U39)*(B:B="Therapist")*(C:C="Relevance"))</f>
        <v>5</v>
      </c>
      <c r="AA39">
        <f t="shared" si="18"/>
        <v>7</v>
      </c>
      <c r="AB39">
        <f t="shared" si="19"/>
        <v>10</v>
      </c>
    </row>
    <row r="40" spans="1:28">
      <c r="A40">
        <v>17</v>
      </c>
      <c r="B40" t="str">
        <f t="shared" ref="B40:C40" si="37">B30</f>
        <v>Therapist</v>
      </c>
      <c r="C40" t="str">
        <f t="shared" si="37"/>
        <v>Appropriateness</v>
      </c>
      <c r="D40">
        <v>5</v>
      </c>
      <c r="G40" s="2">
        <v>102</v>
      </c>
      <c r="H40">
        <f t="shared" si="29"/>
        <v>2</v>
      </c>
      <c r="I40">
        <f t="shared" si="30"/>
        <v>3</v>
      </c>
      <c r="J40">
        <f t="shared" si="31"/>
        <v>1.5</v>
      </c>
      <c r="L40" s="2">
        <v>44</v>
      </c>
      <c r="M40" cm="1">
        <f t="array" ref="M40">_xlfn._xlws.FILTER(D:D, (A:A=$L40)*(B:B="AI")*(C:C="Distress Check"))</f>
        <v>2</v>
      </c>
      <c r="N40" cm="1">
        <f t="array" ref="N40">_xlfn._xlws.FILTER(D:D, (A:A=$L40)*(B:B="AI")*(C:C="Writing Reflection"))</f>
        <v>2</v>
      </c>
      <c r="O40" cm="1">
        <f t="array" ref="O40">_xlfn._xlws.FILTER(D:D, (A:A=$L40)*(B:B="AI")*(C:C="Avoids Processing"))</f>
        <v>2</v>
      </c>
      <c r="P40" cm="1">
        <f t="array" ref="P40">_xlfn._xlws.FILTER(D:D, (A:A=$L40)*(B:B="AI")*(C:C="Appropriateness"))</f>
        <v>4</v>
      </c>
      <c r="Q40" cm="1">
        <f t="array" ref="Q40">_xlfn._xlws.FILTER(D:D, (A:A=$L40)*(B:B="AI")*(C:C="Relevance"))</f>
        <v>2</v>
      </c>
      <c r="R40">
        <f t="shared" si="16"/>
        <v>4</v>
      </c>
      <c r="S40">
        <f t="shared" si="17"/>
        <v>6</v>
      </c>
      <c r="U40" s="2">
        <v>44</v>
      </c>
      <c r="V40" cm="1">
        <f t="array" ref="V40">_xlfn._xlws.FILTER(D:D, (A:A=$U40)*(B:B="Therapist")*(C:C="Distress Check"))</f>
        <v>1</v>
      </c>
      <c r="W40" cm="1">
        <f t="array" ref="W40">_xlfn._xlws.FILTER(D:D, (A:A=$U40)*(B:B="Therapist")*(C:C="Writing Reflection"))</f>
        <v>5</v>
      </c>
      <c r="X40" cm="1">
        <f t="array" ref="X40">_xlfn._xlws.FILTER(D:D, (A:A=$U40)*(B:B="Therapist")*(C:C="Avoids Processing"))</f>
        <v>4</v>
      </c>
      <c r="Y40" cm="1">
        <f t="array" ref="Y40">_xlfn._xlws.FILTER(D:D, (A:A=$U40)*(B:B="Therapist")*(C:C="Appropriateness"))</f>
        <v>3</v>
      </c>
      <c r="Z40" cm="1">
        <f t="array" ref="Z40">_xlfn._xlws.FILTER(D:D, (A:A=$U40)*(B:B="Therapist")*(C:C="Relevance"))</f>
        <v>4</v>
      </c>
      <c r="AA40">
        <f t="shared" si="18"/>
        <v>6</v>
      </c>
      <c r="AB40">
        <f t="shared" si="19"/>
        <v>7</v>
      </c>
    </row>
    <row r="41" spans="1:28">
      <c r="A41">
        <v>17</v>
      </c>
      <c r="B41" t="str">
        <f t="shared" ref="B41:C41" si="38">B31</f>
        <v>Therapist</v>
      </c>
      <c r="C41" t="str">
        <f t="shared" si="38"/>
        <v>Relevance</v>
      </c>
      <c r="D41">
        <v>5</v>
      </c>
      <c r="G41" s="2">
        <v>115</v>
      </c>
      <c r="H41">
        <f t="shared" si="29"/>
        <v>2</v>
      </c>
      <c r="I41">
        <f t="shared" si="30"/>
        <v>2</v>
      </c>
      <c r="J41">
        <f t="shared" si="31"/>
        <v>1.25</v>
      </c>
      <c r="L41" s="2">
        <v>45</v>
      </c>
      <c r="M41" cm="1">
        <f t="array" ref="M41">_xlfn._xlws.FILTER(D:D, (A:A=$L41)*(B:B="AI")*(C:C="Distress Check"))</f>
        <v>1</v>
      </c>
      <c r="N41" cm="1">
        <f t="array" ref="N41">_xlfn._xlws.FILTER(D:D, (A:A=$L41)*(B:B="AI")*(C:C="Writing Reflection"))</f>
        <v>2</v>
      </c>
      <c r="O41" cm="1">
        <f t="array" ref="O41">_xlfn._xlws.FILTER(D:D, (A:A=$L41)*(B:B="AI")*(C:C="Avoids Processing"))</f>
        <v>1</v>
      </c>
      <c r="P41" cm="1">
        <f t="array" ref="P41">_xlfn._xlws.FILTER(D:D, (A:A=$L41)*(B:B="AI")*(C:C="Appropriateness"))</f>
        <v>2</v>
      </c>
      <c r="Q41" cm="1">
        <f t="array" ref="Q41">_xlfn._xlws.FILTER(D:D, (A:A=$L41)*(B:B="AI")*(C:C="Relevance"))</f>
        <v>2</v>
      </c>
      <c r="R41">
        <f t="shared" si="16"/>
        <v>3</v>
      </c>
      <c r="S41">
        <f t="shared" si="17"/>
        <v>4</v>
      </c>
      <c r="U41" s="2">
        <v>45</v>
      </c>
      <c r="V41" cm="1">
        <f t="array" ref="V41">_xlfn._xlws.FILTER(D:D, (A:A=$U41)*(B:B="Therapist")*(C:C="Distress Check"))</f>
        <v>3</v>
      </c>
      <c r="W41" cm="1">
        <f t="array" ref="W41">_xlfn._xlws.FILTER(D:D, (A:A=$U41)*(B:B="Therapist")*(C:C="Writing Reflection"))</f>
        <v>3</v>
      </c>
      <c r="X41" cm="1">
        <f t="array" ref="X41">_xlfn._xlws.FILTER(D:D, (A:A=$U41)*(B:B="Therapist")*(C:C="Avoids Processing"))</f>
        <v>5</v>
      </c>
      <c r="Y41" cm="1">
        <f t="array" ref="Y41">_xlfn._xlws.FILTER(D:D, (A:A=$U41)*(B:B="Therapist")*(C:C="Appropriateness"))</f>
        <v>4</v>
      </c>
      <c r="Z41" cm="1">
        <f t="array" ref="Z41">_xlfn._xlws.FILTER(D:D, (A:A=$U41)*(B:B="Therapist")*(C:C="Relevance"))</f>
        <v>3</v>
      </c>
      <c r="AA41">
        <f t="shared" si="18"/>
        <v>6</v>
      </c>
      <c r="AB41">
        <f t="shared" si="19"/>
        <v>7</v>
      </c>
    </row>
    <row r="42" spans="1:28">
      <c r="A42">
        <v>18</v>
      </c>
      <c r="B42" t="str">
        <f t="shared" ref="B42:C42" si="39">B32</f>
        <v>AI</v>
      </c>
      <c r="C42" t="str">
        <f t="shared" si="39"/>
        <v>Distress Check</v>
      </c>
      <c r="D42">
        <v>2</v>
      </c>
      <c r="G42" s="2">
        <v>116</v>
      </c>
      <c r="H42">
        <f t="shared" si="29"/>
        <v>2</v>
      </c>
      <c r="I42">
        <f t="shared" si="30"/>
        <v>5</v>
      </c>
      <c r="J42">
        <f t="shared" si="31"/>
        <v>2.25</v>
      </c>
      <c r="L42" s="2">
        <v>46</v>
      </c>
      <c r="M42" cm="1">
        <f t="array" ref="M42">_xlfn._xlws.FILTER(D:D, (A:A=$L42)*(B:B="AI")*(C:C="Distress Check"))</f>
        <v>2</v>
      </c>
      <c r="N42" cm="1">
        <f t="array" ref="N42">_xlfn._xlws.FILTER(D:D, (A:A=$L42)*(B:B="AI")*(C:C="Writing Reflection"))</f>
        <v>2</v>
      </c>
      <c r="O42" cm="1">
        <f t="array" ref="O42">_xlfn._xlws.FILTER(D:D, (A:A=$L42)*(B:B="AI")*(C:C="Avoids Processing"))</f>
        <v>1</v>
      </c>
      <c r="P42" cm="1">
        <f t="array" ref="P42">_xlfn._xlws.FILTER(D:D, (A:A=$L42)*(B:B="AI")*(C:C="Appropriateness"))</f>
        <v>2</v>
      </c>
      <c r="Q42" cm="1">
        <f t="array" ref="Q42">_xlfn._xlws.FILTER(D:D, (A:A=$L42)*(B:B="AI")*(C:C="Relevance"))</f>
        <v>2</v>
      </c>
      <c r="R42">
        <f t="shared" si="16"/>
        <v>4</v>
      </c>
      <c r="S42">
        <f t="shared" si="17"/>
        <v>4</v>
      </c>
      <c r="U42" s="2">
        <v>46</v>
      </c>
      <c r="V42" cm="1">
        <f t="array" ref="V42">_xlfn._xlws.FILTER(D:D, (A:A=$U42)*(B:B="Therapist")*(C:C="Distress Check"))</f>
        <v>4</v>
      </c>
      <c r="W42" cm="1">
        <f t="array" ref="W42">_xlfn._xlws.FILTER(D:D, (A:A=$U42)*(B:B="Therapist")*(C:C="Writing Reflection"))</f>
        <v>3</v>
      </c>
      <c r="X42" cm="1">
        <f t="array" ref="X42">_xlfn._xlws.FILTER(D:D, (A:A=$U42)*(B:B="Therapist")*(C:C="Avoids Processing"))</f>
        <v>3</v>
      </c>
      <c r="Y42" cm="1">
        <f t="array" ref="Y42">_xlfn._xlws.FILTER(D:D, (A:A=$U42)*(B:B="Therapist")*(C:C="Appropriateness"))</f>
        <v>5</v>
      </c>
      <c r="Z42" cm="1">
        <f t="array" ref="Z42">_xlfn._xlws.FILTER(D:D, (A:A=$U42)*(B:B="Therapist")*(C:C="Relevance"))</f>
        <v>3</v>
      </c>
      <c r="AA42">
        <f t="shared" si="18"/>
        <v>7</v>
      </c>
      <c r="AB42">
        <f t="shared" si="19"/>
        <v>8</v>
      </c>
    </row>
    <row r="43" spans="1:28">
      <c r="A43">
        <v>18</v>
      </c>
      <c r="B43" t="str">
        <f t="shared" ref="B43:C43" si="40">B33</f>
        <v>AI</v>
      </c>
      <c r="C43" t="str">
        <f t="shared" si="40"/>
        <v>Writing Reflection</v>
      </c>
      <c r="D43">
        <v>3</v>
      </c>
      <c r="G43" s="2">
        <v>120</v>
      </c>
      <c r="H43">
        <f t="shared" si="29"/>
        <v>2.5</v>
      </c>
      <c r="I43">
        <f t="shared" si="30"/>
        <v>5</v>
      </c>
      <c r="J43">
        <f t="shared" si="31"/>
        <v>2.5</v>
      </c>
      <c r="L43" s="2">
        <v>49</v>
      </c>
      <c r="M43" cm="1">
        <f t="array" ref="M43">_xlfn._xlws.FILTER(D:D, (A:A=$L43)*(B:B="AI")*(C:C="Distress Check"))</f>
        <v>1</v>
      </c>
      <c r="N43" cm="1">
        <f t="array" ref="N43">_xlfn._xlws.FILTER(D:D, (A:A=$L43)*(B:B="AI")*(C:C="Writing Reflection"))</f>
        <v>2</v>
      </c>
      <c r="O43" cm="1">
        <f t="array" ref="O43">_xlfn._xlws.FILTER(D:D, (A:A=$L43)*(B:B="AI")*(C:C="Avoids Processing"))</f>
        <v>1</v>
      </c>
      <c r="P43" cm="1">
        <f t="array" ref="P43">_xlfn._xlws.FILTER(D:D, (A:A=$L43)*(B:B="AI")*(C:C="Appropriateness"))</f>
        <v>2</v>
      </c>
      <c r="Q43" cm="1">
        <f t="array" ref="Q43">_xlfn._xlws.FILTER(D:D, (A:A=$L43)*(B:B="AI")*(C:C="Relevance"))</f>
        <v>2</v>
      </c>
      <c r="R43">
        <f t="shared" si="16"/>
        <v>3</v>
      </c>
      <c r="S43">
        <f t="shared" si="17"/>
        <v>4</v>
      </c>
      <c r="U43" s="2">
        <v>49</v>
      </c>
      <c r="V43" cm="1">
        <f t="array" ref="V43">_xlfn._xlws.FILTER(D:D, (A:A=$U43)*(B:B="Therapist")*(C:C="Distress Check"))</f>
        <v>3</v>
      </c>
      <c r="W43" cm="1">
        <f t="array" ref="W43">_xlfn._xlws.FILTER(D:D, (A:A=$U43)*(B:B="Therapist")*(C:C="Writing Reflection"))</f>
        <v>4</v>
      </c>
      <c r="X43" cm="1">
        <f t="array" ref="X43">_xlfn._xlws.FILTER(D:D, (A:A=$U43)*(B:B="Therapist")*(C:C="Avoids Processing"))</f>
        <v>2</v>
      </c>
      <c r="Y43" cm="1">
        <f t="array" ref="Y43">_xlfn._xlws.FILTER(D:D, (A:A=$U43)*(B:B="Therapist")*(C:C="Appropriateness"))</f>
        <v>4</v>
      </c>
      <c r="Z43" cm="1">
        <f t="array" ref="Z43">_xlfn._xlws.FILTER(D:D, (A:A=$U43)*(B:B="Therapist")*(C:C="Relevance"))</f>
        <v>3</v>
      </c>
      <c r="AA43">
        <f t="shared" si="18"/>
        <v>7</v>
      </c>
      <c r="AB43">
        <f t="shared" si="19"/>
        <v>7</v>
      </c>
    </row>
    <row r="44" spans="1:28">
      <c r="A44">
        <v>18</v>
      </c>
      <c r="B44" t="str">
        <f t="shared" ref="B44:C44" si="41">B34</f>
        <v>AI</v>
      </c>
      <c r="C44" t="str">
        <f t="shared" si="41"/>
        <v>Avoids Processing</v>
      </c>
      <c r="D44">
        <v>2</v>
      </c>
      <c r="G44" s="2">
        <v>121</v>
      </c>
      <c r="H44">
        <f t="shared" si="29"/>
        <v>2.25</v>
      </c>
      <c r="I44">
        <f t="shared" si="30"/>
        <v>4</v>
      </c>
      <c r="J44">
        <f t="shared" si="31"/>
        <v>1.6</v>
      </c>
      <c r="L44" s="2">
        <v>51</v>
      </c>
      <c r="M44" cm="1">
        <f t="array" ref="M44">_xlfn._xlws.FILTER(D:D, (A:A=$L44)*(B:B="AI")*(C:C="Distress Check"))</f>
        <v>2</v>
      </c>
      <c r="N44" cm="1">
        <f t="array" ref="N44">_xlfn._xlws.FILTER(D:D, (A:A=$L44)*(B:B="AI")*(C:C="Writing Reflection"))</f>
        <v>3</v>
      </c>
      <c r="O44" cm="1">
        <f t="array" ref="O44">_xlfn._xlws.FILTER(D:D, (A:A=$L44)*(B:B="AI")*(C:C="Avoids Processing"))</f>
        <v>1</v>
      </c>
      <c r="P44" cm="1">
        <f t="array" ref="P44">_xlfn._xlws.FILTER(D:D, (A:A=$L44)*(B:B="AI")*(C:C="Appropriateness"))</f>
        <v>2</v>
      </c>
      <c r="Q44" cm="1">
        <f t="array" ref="Q44">_xlfn._xlws.FILTER(D:D, (A:A=$L44)*(B:B="AI")*(C:C="Relevance"))</f>
        <v>2</v>
      </c>
      <c r="R44">
        <f t="shared" si="16"/>
        <v>5</v>
      </c>
      <c r="S44">
        <f t="shared" si="17"/>
        <v>4</v>
      </c>
      <c r="U44" s="2">
        <v>51</v>
      </c>
      <c r="V44" cm="1">
        <f t="array" ref="V44">_xlfn._xlws.FILTER(D:D, (A:A=$U44)*(B:B="Therapist")*(C:C="Distress Check"))</f>
        <v>2</v>
      </c>
      <c r="W44" cm="1">
        <f t="array" ref="W44">_xlfn._xlws.FILTER(D:D, (A:A=$U44)*(B:B="Therapist")*(C:C="Writing Reflection"))</f>
        <v>5</v>
      </c>
      <c r="X44" cm="1">
        <f t="array" ref="X44">_xlfn._xlws.FILTER(D:D, (A:A=$U44)*(B:B="Therapist")*(C:C="Avoids Processing"))</f>
        <v>3</v>
      </c>
      <c r="Y44" cm="1">
        <f t="array" ref="Y44">_xlfn._xlws.FILTER(D:D, (A:A=$U44)*(B:B="Therapist")*(C:C="Appropriateness"))</f>
        <v>4</v>
      </c>
      <c r="Z44" cm="1">
        <f t="array" ref="Z44">_xlfn._xlws.FILTER(D:D, (A:A=$U44)*(B:B="Therapist")*(C:C="Relevance"))</f>
        <v>4</v>
      </c>
      <c r="AA44">
        <f t="shared" si="18"/>
        <v>7</v>
      </c>
      <c r="AB44">
        <f t="shared" si="19"/>
        <v>8</v>
      </c>
    </row>
    <row r="45" spans="1:28">
      <c r="A45">
        <v>18</v>
      </c>
      <c r="B45" t="str">
        <f t="shared" ref="B45:C45" si="42">B35</f>
        <v>AI</v>
      </c>
      <c r="C45" t="str">
        <f t="shared" si="42"/>
        <v>Appropriateness</v>
      </c>
      <c r="D45">
        <v>4</v>
      </c>
      <c r="G45" s="2">
        <v>124</v>
      </c>
      <c r="H45">
        <f t="shared" si="29"/>
        <v>2</v>
      </c>
      <c r="I45">
        <f t="shared" si="30"/>
        <v>5</v>
      </c>
      <c r="J45">
        <f t="shared" si="31"/>
        <v>2.25</v>
      </c>
      <c r="L45" s="2">
        <v>52</v>
      </c>
      <c r="M45" cm="1">
        <f t="array" ref="M45">_xlfn._xlws.FILTER(D:D, (A:A=$L45)*(B:B="AI")*(C:C="Distress Check"))</f>
        <v>3</v>
      </c>
      <c r="N45" cm="1">
        <f t="array" ref="N45">_xlfn._xlws.FILTER(D:D, (A:A=$L45)*(B:B="AI")*(C:C="Writing Reflection"))</f>
        <v>2</v>
      </c>
      <c r="O45" cm="1">
        <f t="array" ref="O45">_xlfn._xlws.FILTER(D:D, (A:A=$L45)*(B:B="AI")*(C:C="Avoids Processing"))</f>
        <v>1</v>
      </c>
      <c r="P45" cm="1">
        <f t="array" ref="P45">_xlfn._xlws.FILTER(D:D, (A:A=$L45)*(B:B="AI")*(C:C="Appropriateness"))</f>
        <v>2</v>
      </c>
      <c r="Q45" cm="1">
        <f t="array" ref="Q45">_xlfn._xlws.FILTER(D:D, (A:A=$L45)*(B:B="AI")*(C:C="Relevance"))</f>
        <v>2</v>
      </c>
      <c r="R45">
        <f t="shared" si="16"/>
        <v>5</v>
      </c>
      <c r="S45">
        <f t="shared" si="17"/>
        <v>4</v>
      </c>
      <c r="U45" s="2">
        <v>52</v>
      </c>
      <c r="V45" cm="1">
        <f t="array" ref="V45">_xlfn._xlws.FILTER(D:D, (A:A=$U45)*(B:B="Therapist")*(C:C="Distress Check"))</f>
        <v>4</v>
      </c>
      <c r="W45" cm="1">
        <f t="array" ref="W45">_xlfn._xlws.FILTER(D:D, (A:A=$U45)*(B:B="Therapist")*(C:C="Writing Reflection"))</f>
        <v>3</v>
      </c>
      <c r="X45" cm="1">
        <f t="array" ref="X45">_xlfn._xlws.FILTER(D:D, (A:A=$U45)*(B:B="Therapist")*(C:C="Avoids Processing"))</f>
        <v>4</v>
      </c>
      <c r="Y45" cm="1">
        <f t="array" ref="Y45">_xlfn._xlws.FILTER(D:D, (A:A=$U45)*(B:B="Therapist")*(C:C="Appropriateness"))</f>
        <v>5</v>
      </c>
      <c r="Z45" cm="1">
        <f t="array" ref="Z45">_xlfn._xlws.FILTER(D:D, (A:A=$U45)*(B:B="Therapist")*(C:C="Relevance"))</f>
        <v>3</v>
      </c>
      <c r="AA45">
        <f t="shared" si="18"/>
        <v>7</v>
      </c>
      <c r="AB45">
        <f t="shared" si="19"/>
        <v>8</v>
      </c>
    </row>
    <row r="46" spans="1:28">
      <c r="A46">
        <v>18</v>
      </c>
      <c r="B46" t="str">
        <f t="shared" ref="B46:C46" si="43">B36</f>
        <v>AI</v>
      </c>
      <c r="C46" t="str">
        <f t="shared" si="43"/>
        <v>Relevance</v>
      </c>
      <c r="D46">
        <v>4</v>
      </c>
      <c r="G46" s="2">
        <v>126</v>
      </c>
      <c r="H46">
        <f t="shared" si="29"/>
        <v>2</v>
      </c>
      <c r="I46">
        <f t="shared" si="30"/>
        <v>3</v>
      </c>
      <c r="J46">
        <f t="shared" si="31"/>
        <v>1.75</v>
      </c>
      <c r="L46" s="2">
        <v>55</v>
      </c>
      <c r="M46" cm="1">
        <f t="array" ref="M46">_xlfn._xlws.FILTER(D:D, (A:A=$L46)*(B:B="AI")*(C:C="Distress Check"))</f>
        <v>3</v>
      </c>
      <c r="N46" cm="1">
        <f t="array" ref="N46">_xlfn._xlws.FILTER(D:D, (A:A=$L46)*(B:B="AI")*(C:C="Writing Reflection"))</f>
        <v>2</v>
      </c>
      <c r="O46" cm="1">
        <f t="array" ref="O46">_xlfn._xlws.FILTER(D:D, (A:A=$L46)*(B:B="AI")*(C:C="Avoids Processing"))</f>
        <v>1</v>
      </c>
      <c r="P46" cm="1">
        <f t="array" ref="P46">_xlfn._xlws.FILTER(D:D, (A:A=$L46)*(B:B="AI")*(C:C="Appropriateness"))</f>
        <v>2</v>
      </c>
      <c r="Q46" cm="1">
        <f t="array" ref="Q46">_xlfn._xlws.FILTER(D:D, (A:A=$L46)*(B:B="AI")*(C:C="Relevance"))</f>
        <v>2</v>
      </c>
      <c r="R46">
        <f t="shared" si="16"/>
        <v>5</v>
      </c>
      <c r="S46">
        <f t="shared" si="17"/>
        <v>4</v>
      </c>
      <c r="U46" s="2">
        <v>55</v>
      </c>
      <c r="V46" cm="1">
        <f t="array" ref="V46">_xlfn._xlws.FILTER(D:D, (A:A=$U46)*(B:B="Therapist")*(C:C="Distress Check"))</f>
        <v>3</v>
      </c>
      <c r="W46" cm="1">
        <f t="array" ref="W46">_xlfn._xlws.FILTER(D:D, (A:A=$U46)*(B:B="Therapist")*(C:C="Writing Reflection"))</f>
        <v>4</v>
      </c>
      <c r="X46" cm="1">
        <f t="array" ref="X46">_xlfn._xlws.FILTER(D:D, (A:A=$U46)*(B:B="Therapist")*(C:C="Avoids Processing"))</f>
        <v>2</v>
      </c>
      <c r="Y46" cm="1">
        <f t="array" ref="Y46">_xlfn._xlws.FILTER(D:D, (A:A=$U46)*(B:B="Therapist")*(C:C="Appropriateness"))</f>
        <v>2</v>
      </c>
      <c r="Z46" cm="1">
        <f t="array" ref="Z46">_xlfn._xlws.FILTER(D:D, (A:A=$U46)*(B:B="Therapist")*(C:C="Relevance"))</f>
        <v>3</v>
      </c>
      <c r="AA46">
        <f t="shared" si="18"/>
        <v>7</v>
      </c>
      <c r="AB46">
        <f t="shared" si="19"/>
        <v>5</v>
      </c>
    </row>
    <row r="47" spans="1:28">
      <c r="A47">
        <v>18</v>
      </c>
      <c r="B47" t="str">
        <f t="shared" ref="B47:C47" si="44">B37</f>
        <v>Therapist</v>
      </c>
      <c r="C47" t="str">
        <f t="shared" si="44"/>
        <v>Distress Check</v>
      </c>
      <c r="D47">
        <v>5</v>
      </c>
      <c r="G47" s="2">
        <v>129</v>
      </c>
      <c r="H47">
        <f t="shared" si="29"/>
        <v>1.2</v>
      </c>
      <c r="I47">
        <f t="shared" si="30"/>
        <v>3</v>
      </c>
      <c r="J47">
        <f t="shared" si="31"/>
        <v>1.5</v>
      </c>
      <c r="L47" s="2">
        <v>60</v>
      </c>
      <c r="M47" cm="1">
        <f t="array" ref="M47">_xlfn._xlws.FILTER(D:D, (A:A=$L47)*(B:B="AI")*(C:C="Distress Check"))</f>
        <v>2</v>
      </c>
      <c r="N47" cm="1">
        <f t="array" ref="N47">_xlfn._xlws.FILTER(D:D, (A:A=$L47)*(B:B="AI")*(C:C="Writing Reflection"))</f>
        <v>2</v>
      </c>
      <c r="O47" cm="1">
        <f t="array" ref="O47">_xlfn._xlws.FILTER(D:D, (A:A=$L47)*(B:B="AI")*(C:C="Avoids Processing"))</f>
        <v>1</v>
      </c>
      <c r="P47" cm="1">
        <f t="array" ref="P47">_xlfn._xlws.FILTER(D:D, (A:A=$L47)*(B:B="AI")*(C:C="Appropriateness"))</f>
        <v>2</v>
      </c>
      <c r="Q47" cm="1">
        <f t="array" ref="Q47">_xlfn._xlws.FILTER(D:D, (A:A=$L47)*(B:B="AI")*(C:C="Relevance"))</f>
        <v>2</v>
      </c>
      <c r="R47">
        <f t="shared" si="16"/>
        <v>4</v>
      </c>
      <c r="S47">
        <f t="shared" si="17"/>
        <v>4</v>
      </c>
      <c r="U47" s="2">
        <v>60</v>
      </c>
      <c r="V47" cm="1">
        <f t="array" ref="V47">_xlfn._xlws.FILTER(D:D, (A:A=$U47)*(B:B="Therapist")*(C:C="Distress Check"))</f>
        <v>4</v>
      </c>
      <c r="W47" cm="1">
        <f t="array" ref="W47">_xlfn._xlws.FILTER(D:D, (A:A=$U47)*(B:B="Therapist")*(C:C="Writing Reflection"))</f>
        <v>2</v>
      </c>
      <c r="X47" cm="1">
        <f t="array" ref="X47">_xlfn._xlws.FILTER(D:D, (A:A=$U47)*(B:B="Therapist")*(C:C="Avoids Processing"))</f>
        <v>3</v>
      </c>
      <c r="Y47" cm="1">
        <f t="array" ref="Y47">_xlfn._xlws.FILTER(D:D, (A:A=$U47)*(B:B="Therapist")*(C:C="Appropriateness"))</f>
        <v>5</v>
      </c>
      <c r="Z47" cm="1">
        <f t="array" ref="Z47">_xlfn._xlws.FILTER(D:D, (A:A=$U47)*(B:B="Therapist")*(C:C="Relevance"))</f>
        <v>3</v>
      </c>
      <c r="AA47">
        <f t="shared" si="18"/>
        <v>6</v>
      </c>
      <c r="AB47">
        <f t="shared" si="19"/>
        <v>8</v>
      </c>
    </row>
    <row r="48" spans="1:28">
      <c r="A48">
        <v>18</v>
      </c>
      <c r="B48" t="str">
        <f t="shared" ref="B48:C48" si="45">B38</f>
        <v>Therapist</v>
      </c>
      <c r="C48" t="str">
        <f t="shared" si="45"/>
        <v>Writing Reflection</v>
      </c>
      <c r="D48">
        <v>3</v>
      </c>
      <c r="G48" s="2">
        <v>134</v>
      </c>
      <c r="H48">
        <f t="shared" si="29"/>
        <v>1.6666666666666667</v>
      </c>
      <c r="I48">
        <f t="shared" si="30"/>
        <v>3</v>
      </c>
      <c r="J48">
        <f t="shared" si="31"/>
        <v>1.75</v>
      </c>
      <c r="L48" s="2">
        <v>66</v>
      </c>
      <c r="M48" cm="1">
        <f t="array" ref="M48">_xlfn._xlws.FILTER(D:D, (A:A=$L48)*(B:B="AI")*(C:C="Distress Check"))</f>
        <v>2</v>
      </c>
      <c r="N48" cm="1">
        <f t="array" ref="N48">_xlfn._xlws.FILTER(D:D, (A:A=$L48)*(B:B="AI")*(C:C="Writing Reflection"))</f>
        <v>2</v>
      </c>
      <c r="O48" cm="1">
        <f t="array" ref="O48">_xlfn._xlws.FILTER(D:D, (A:A=$L48)*(B:B="AI")*(C:C="Avoids Processing"))</f>
        <v>1</v>
      </c>
      <c r="P48" cm="1">
        <f t="array" ref="P48">_xlfn._xlws.FILTER(D:D, (A:A=$L48)*(B:B="AI")*(C:C="Appropriateness"))</f>
        <v>2</v>
      </c>
      <c r="Q48" cm="1">
        <f t="array" ref="Q48">_xlfn._xlws.FILTER(D:D, (A:A=$L48)*(B:B="AI")*(C:C="Relevance"))</f>
        <v>2</v>
      </c>
      <c r="R48">
        <f t="shared" si="16"/>
        <v>4</v>
      </c>
      <c r="S48">
        <f t="shared" si="17"/>
        <v>4</v>
      </c>
      <c r="U48" s="2">
        <v>66</v>
      </c>
      <c r="V48" cm="1">
        <f t="array" ref="V48">_xlfn._xlws.FILTER(D:D, (A:A=$U48)*(B:B="Therapist")*(C:C="Distress Check"))</f>
        <v>5</v>
      </c>
      <c r="W48" cm="1">
        <f t="array" ref="W48">_xlfn._xlws.FILTER(D:D, (A:A=$U48)*(B:B="Therapist")*(C:C="Writing Reflection"))</f>
        <v>4</v>
      </c>
      <c r="X48" cm="1">
        <f t="array" ref="X48">_xlfn._xlws.FILTER(D:D, (A:A=$U48)*(B:B="Therapist")*(C:C="Avoids Processing"))</f>
        <v>5</v>
      </c>
      <c r="Y48" cm="1">
        <f t="array" ref="Y48">_xlfn._xlws.FILTER(D:D, (A:A=$U48)*(B:B="Therapist")*(C:C="Appropriateness"))</f>
        <v>5</v>
      </c>
      <c r="Z48" cm="1">
        <f t="array" ref="Z48">_xlfn._xlws.FILTER(D:D, (A:A=$U48)*(B:B="Therapist")*(C:C="Relevance"))</f>
        <v>5</v>
      </c>
      <c r="AA48">
        <f t="shared" si="18"/>
        <v>9</v>
      </c>
      <c r="AB48">
        <f t="shared" si="19"/>
        <v>10</v>
      </c>
    </row>
    <row r="49" spans="1:28">
      <c r="A49">
        <v>18</v>
      </c>
      <c r="B49" t="str">
        <f t="shared" ref="B49:C49" si="46">B39</f>
        <v>Therapist</v>
      </c>
      <c r="C49" t="str">
        <f t="shared" si="46"/>
        <v>Avoids Processing</v>
      </c>
      <c r="D49">
        <v>4</v>
      </c>
      <c r="G49" s="2">
        <v>139</v>
      </c>
      <c r="H49">
        <f t="shared" si="29"/>
        <v>2</v>
      </c>
      <c r="I49">
        <f t="shared" si="30"/>
        <v>3</v>
      </c>
      <c r="J49">
        <f t="shared" si="31"/>
        <v>2.3333333333333335</v>
      </c>
      <c r="L49" s="2">
        <v>68</v>
      </c>
      <c r="M49" cm="1">
        <f t="array" ref="M49">_xlfn._xlws.FILTER(D:D, (A:A=$L49)*(B:B="AI")*(C:C="Distress Check"))</f>
        <v>2</v>
      </c>
      <c r="N49" cm="1">
        <f t="array" ref="N49">_xlfn._xlws.FILTER(D:D, (A:A=$L49)*(B:B="AI")*(C:C="Writing Reflection"))</f>
        <v>2</v>
      </c>
      <c r="O49" cm="1">
        <f t="array" ref="O49">_xlfn._xlws.FILTER(D:D, (A:A=$L49)*(B:B="AI")*(C:C="Avoids Processing"))</f>
        <v>1</v>
      </c>
      <c r="P49" cm="1">
        <f t="array" ref="P49">_xlfn._xlws.FILTER(D:D, (A:A=$L49)*(B:B="AI")*(C:C="Appropriateness"))</f>
        <v>2</v>
      </c>
      <c r="Q49" cm="1">
        <f t="array" ref="Q49">_xlfn._xlws.FILTER(D:D, (A:A=$L49)*(B:B="AI")*(C:C="Relevance"))</f>
        <v>2</v>
      </c>
      <c r="R49">
        <f t="shared" si="16"/>
        <v>4</v>
      </c>
      <c r="S49">
        <f t="shared" si="17"/>
        <v>4</v>
      </c>
      <c r="U49" s="2">
        <v>68</v>
      </c>
      <c r="V49" cm="1">
        <f t="array" ref="V49">_xlfn._xlws.FILTER(D:D, (A:A=$U49)*(B:B="Therapist")*(C:C="Distress Check"))</f>
        <v>5</v>
      </c>
      <c r="W49" cm="1">
        <f t="array" ref="W49">_xlfn._xlws.FILTER(D:D, (A:A=$U49)*(B:B="Therapist")*(C:C="Writing Reflection"))</f>
        <v>2</v>
      </c>
      <c r="X49" cm="1">
        <f t="array" ref="X49">_xlfn._xlws.FILTER(D:D, (A:A=$U49)*(B:B="Therapist")*(C:C="Avoids Processing"))</f>
        <v>4</v>
      </c>
      <c r="Y49" cm="1">
        <f t="array" ref="Y49">_xlfn._xlws.FILTER(D:D, (A:A=$U49)*(B:B="Therapist")*(C:C="Appropriateness"))</f>
        <v>5</v>
      </c>
      <c r="Z49" cm="1">
        <f t="array" ref="Z49">_xlfn._xlws.FILTER(D:D, (A:A=$U49)*(B:B="Therapist")*(C:C="Relevance"))</f>
        <v>3</v>
      </c>
      <c r="AA49">
        <f t="shared" si="18"/>
        <v>7</v>
      </c>
      <c r="AB49">
        <f t="shared" si="19"/>
        <v>8</v>
      </c>
    </row>
    <row r="50" spans="1:28">
      <c r="A50">
        <v>18</v>
      </c>
      <c r="B50" t="str">
        <f t="shared" ref="B50" si="47">B40</f>
        <v>Therapist</v>
      </c>
      <c r="C50" t="str">
        <f>C40</f>
        <v>Appropriateness</v>
      </c>
      <c r="D50">
        <v>5</v>
      </c>
      <c r="G50" s="2">
        <v>144</v>
      </c>
      <c r="H50">
        <f t="shared" si="29"/>
        <v>1.5</v>
      </c>
      <c r="I50">
        <f t="shared" si="30"/>
        <v>3</v>
      </c>
      <c r="J50">
        <f t="shared" si="31"/>
        <v>2.25</v>
      </c>
      <c r="L50" s="2">
        <v>70</v>
      </c>
      <c r="M50" cm="1">
        <f t="array" ref="M50">_xlfn._xlws.FILTER(D:D, (A:A=$L50)*(B:B="AI")*(C:C="Distress Check"))</f>
        <v>1</v>
      </c>
      <c r="N50" cm="1">
        <f t="array" ref="N50">_xlfn._xlws.FILTER(D:D, (A:A=$L50)*(B:B="AI")*(C:C="Writing Reflection"))</f>
        <v>2</v>
      </c>
      <c r="O50" cm="1">
        <f t="array" ref="O50">_xlfn._xlws.FILTER(D:D, (A:A=$L50)*(B:B="AI")*(C:C="Avoids Processing"))</f>
        <v>1</v>
      </c>
      <c r="P50" cm="1">
        <f t="array" ref="P50">_xlfn._xlws.FILTER(D:D, (A:A=$L50)*(B:B="AI")*(C:C="Appropriateness"))</f>
        <v>3</v>
      </c>
      <c r="Q50" cm="1">
        <f t="array" ref="Q50">_xlfn._xlws.FILTER(D:D, (A:A=$L50)*(B:B="AI")*(C:C="Relevance"))</f>
        <v>2</v>
      </c>
      <c r="R50">
        <f t="shared" si="16"/>
        <v>3</v>
      </c>
      <c r="S50">
        <f t="shared" si="17"/>
        <v>5</v>
      </c>
      <c r="U50" s="2">
        <v>70</v>
      </c>
      <c r="V50" cm="1">
        <f t="array" ref="V50">_xlfn._xlws.FILTER(D:D, (A:A=$U50)*(B:B="Therapist")*(C:C="Distress Check"))</f>
        <v>5</v>
      </c>
      <c r="W50" cm="1">
        <f t="array" ref="W50">_xlfn._xlws.FILTER(D:D, (A:A=$U50)*(B:B="Therapist")*(C:C="Writing Reflection"))</f>
        <v>3</v>
      </c>
      <c r="X50" cm="1">
        <f t="array" ref="X50">_xlfn._xlws.FILTER(D:D, (A:A=$U50)*(B:B="Therapist")*(C:C="Avoids Processing"))</f>
        <v>3</v>
      </c>
      <c r="Y50" cm="1">
        <f t="array" ref="Y50">_xlfn._xlws.FILTER(D:D, (A:A=$U50)*(B:B="Therapist")*(C:C="Appropriateness"))</f>
        <v>3</v>
      </c>
      <c r="Z50" cm="1">
        <f t="array" ref="Z50">_xlfn._xlws.FILTER(D:D, (A:A=$U50)*(B:B="Therapist")*(C:C="Relevance"))</f>
        <v>3</v>
      </c>
      <c r="AA50">
        <f t="shared" si="18"/>
        <v>8</v>
      </c>
      <c r="AB50">
        <f t="shared" si="19"/>
        <v>6</v>
      </c>
    </row>
    <row r="51" spans="1:28">
      <c r="A51">
        <v>18</v>
      </c>
      <c r="B51" t="str">
        <f t="shared" ref="B51:C51" si="48">B41</f>
        <v>Therapist</v>
      </c>
      <c r="C51" t="str">
        <f t="shared" si="48"/>
        <v>Relevance</v>
      </c>
      <c r="D51">
        <v>2</v>
      </c>
      <c r="E51" t="s">
        <v>18</v>
      </c>
      <c r="G51" s="2" t="s">
        <v>96</v>
      </c>
      <c r="H51">
        <f>SUM(H2:H50)</f>
        <v>92.433333333333337</v>
      </c>
      <c r="I51">
        <f t="shared" ref="I51:J51" si="49">SUM(I2:I50)</f>
        <v>164.5</v>
      </c>
      <c r="J51">
        <f t="shared" si="49"/>
        <v>85.978571428571414</v>
      </c>
      <c r="L51" s="2">
        <v>73</v>
      </c>
      <c r="M51" cm="1">
        <f t="array" ref="M51">_xlfn._xlws.FILTER(D:D, (A:A=$L51)*(B:B="AI")*(C:C="Distress Check"))</f>
        <v>1</v>
      </c>
      <c r="N51" cm="1">
        <f t="array" ref="N51">_xlfn._xlws.FILTER(D:D, (A:A=$L51)*(B:B="AI")*(C:C="Writing Reflection"))</f>
        <v>2</v>
      </c>
      <c r="O51" cm="1">
        <f t="array" ref="O51">_xlfn._xlws.FILTER(D:D, (A:A=$L51)*(B:B="AI")*(C:C="Avoids Processing"))</f>
        <v>1</v>
      </c>
      <c r="P51" cm="1">
        <f t="array" ref="P51">_xlfn._xlws.FILTER(D:D, (A:A=$L51)*(B:B="AI")*(C:C="Appropriateness"))</f>
        <v>2</v>
      </c>
      <c r="Q51" cm="1">
        <f t="array" ref="Q51">_xlfn._xlws.FILTER(D:D, (A:A=$L51)*(B:B="AI")*(C:C="Relevance"))</f>
        <v>2</v>
      </c>
      <c r="R51">
        <f t="shared" si="16"/>
        <v>3</v>
      </c>
      <c r="S51">
        <f t="shared" si="17"/>
        <v>4</v>
      </c>
      <c r="U51" s="2">
        <v>73</v>
      </c>
      <c r="V51" cm="1">
        <f t="array" ref="V51">_xlfn._xlws.FILTER(D:D, (A:A=$U51)*(B:B="Therapist")*(C:C="Distress Check"))</f>
        <v>4</v>
      </c>
      <c r="W51" cm="1">
        <f t="array" ref="W51">_xlfn._xlws.FILTER(D:D, (A:A=$U51)*(B:B="Therapist")*(C:C="Writing Reflection"))</f>
        <v>4</v>
      </c>
      <c r="X51" cm="1">
        <f t="array" ref="X51">_xlfn._xlws.FILTER(D:D, (A:A=$U51)*(B:B="Therapist")*(C:C="Avoids Processing"))</f>
        <v>2</v>
      </c>
      <c r="Y51" cm="1">
        <f t="array" ref="Y51">_xlfn._xlws.FILTER(D:D, (A:A=$U51)*(B:B="Therapist")*(C:C="Appropriateness"))</f>
        <v>4</v>
      </c>
      <c r="Z51" cm="1">
        <f t="array" ref="Z51">_xlfn._xlws.FILTER(D:D, (A:A=$U51)*(B:B="Therapist")*(C:C="Relevance"))</f>
        <v>3</v>
      </c>
      <c r="AA51">
        <f t="shared" si="18"/>
        <v>8</v>
      </c>
      <c r="AB51">
        <f t="shared" si="19"/>
        <v>7</v>
      </c>
    </row>
    <row r="52" spans="1:28">
      <c r="A52">
        <v>20</v>
      </c>
      <c r="B52" t="str">
        <f t="shared" ref="B52:C52" si="50">B42</f>
        <v>AI</v>
      </c>
      <c r="C52" t="str">
        <f t="shared" si="50"/>
        <v>Distress Check</v>
      </c>
      <c r="D52">
        <v>1</v>
      </c>
      <c r="G52" t="s">
        <v>99</v>
      </c>
      <c r="H52">
        <f>AVERAGE(H2:H50)</f>
        <v>1.8863945578231294</v>
      </c>
      <c r="I52">
        <f>AVERAGE(I2:I50)</f>
        <v>3.3571428571428572</v>
      </c>
      <c r="J52">
        <f>AVERAGE(J2:J50)</f>
        <v>1.7546647230320698</v>
      </c>
      <c r="L52" s="2">
        <v>76</v>
      </c>
      <c r="M52" cm="1">
        <f t="array" ref="M52">_xlfn._xlws.FILTER(D:D, (A:A=$L52)*(B:B="AI")*(C:C="Distress Check"))</f>
        <v>1</v>
      </c>
      <c r="N52" cm="1">
        <f t="array" ref="N52">_xlfn._xlws.FILTER(D:D, (A:A=$L52)*(B:B="AI")*(C:C="Writing Reflection"))</f>
        <v>2</v>
      </c>
      <c r="O52" cm="1">
        <f t="array" ref="O52">_xlfn._xlws.FILTER(D:D, (A:A=$L52)*(B:B="AI")*(C:C="Avoids Processing"))</f>
        <v>1</v>
      </c>
      <c r="P52" cm="1">
        <f t="array" ref="P52">_xlfn._xlws.FILTER(D:D, (A:A=$L52)*(B:B="AI")*(C:C="Appropriateness"))</f>
        <v>2</v>
      </c>
      <c r="Q52" cm="1">
        <f t="array" ref="Q52">_xlfn._xlws.FILTER(D:D, (A:A=$L52)*(B:B="AI")*(C:C="Relevance"))</f>
        <v>2</v>
      </c>
      <c r="R52">
        <f t="shared" si="16"/>
        <v>3</v>
      </c>
      <c r="S52">
        <f t="shared" si="17"/>
        <v>4</v>
      </c>
      <c r="U52" s="2">
        <v>76</v>
      </c>
      <c r="V52" cm="1">
        <f t="array" ref="V52">_xlfn._xlws.FILTER(D:D, (A:A=$U52)*(B:B="Therapist")*(C:C="Distress Check"))</f>
        <v>3</v>
      </c>
      <c r="W52" cm="1">
        <f t="array" ref="W52">_xlfn._xlws.FILTER(D:D, (A:A=$U52)*(B:B="Therapist")*(C:C="Writing Reflection"))</f>
        <v>4</v>
      </c>
      <c r="X52" cm="1">
        <f t="array" ref="X52">_xlfn._xlws.FILTER(D:D, (A:A=$U52)*(B:B="Therapist")*(C:C="Avoids Processing"))</f>
        <v>2</v>
      </c>
      <c r="Y52" cm="1">
        <f t="array" ref="Y52">_xlfn._xlws.FILTER(D:D, (A:A=$U52)*(B:B="Therapist")*(C:C="Appropriateness"))</f>
        <v>3</v>
      </c>
      <c r="Z52" cm="1">
        <f t="array" ref="Z52">_xlfn._xlws.FILTER(D:D, (A:A=$U52)*(B:B="Therapist")*(C:C="Relevance"))</f>
        <v>4</v>
      </c>
      <c r="AA52">
        <f t="shared" si="18"/>
        <v>7</v>
      </c>
      <c r="AB52">
        <f t="shared" si="19"/>
        <v>7</v>
      </c>
    </row>
    <row r="53" spans="1:28">
      <c r="A53">
        <v>20</v>
      </c>
      <c r="B53" t="str">
        <f t="shared" ref="B53:C53" si="51">B43</f>
        <v>AI</v>
      </c>
      <c r="C53" t="str">
        <f t="shared" si="51"/>
        <v>Writing Reflection</v>
      </c>
      <c r="D53">
        <v>3</v>
      </c>
      <c r="G53" t="s">
        <v>97</v>
      </c>
      <c r="H53">
        <f>_xlfn.STDEV.S(H2, H50)</f>
        <v>7.0710678118654821E-2</v>
      </c>
      <c r="I53">
        <f t="shared" ref="I53:J53" si="52">_xlfn.STDEV.S(I2, I50)</f>
        <v>1.7677669529663689</v>
      </c>
      <c r="J53">
        <f t="shared" si="52"/>
        <v>0.79549512883486595</v>
      </c>
      <c r="L53" s="2">
        <v>85</v>
      </c>
      <c r="M53" cm="1">
        <f t="array" ref="M53">_xlfn._xlws.FILTER(D:D, (A:A=$L53)*(B:B="AI")*(C:C="Distress Check"))</f>
        <v>1</v>
      </c>
      <c r="N53" cm="1">
        <f t="array" ref="N53">_xlfn._xlws.FILTER(D:D, (A:A=$L53)*(B:B="AI")*(C:C="Writing Reflection"))</f>
        <v>2</v>
      </c>
      <c r="O53" cm="1">
        <f t="array" ref="O53">_xlfn._xlws.FILTER(D:D, (A:A=$L53)*(B:B="AI")*(C:C="Avoids Processing"))</f>
        <v>1</v>
      </c>
      <c r="P53" cm="1">
        <f t="array" ref="P53">_xlfn._xlws.FILTER(D:D, (A:A=$L53)*(B:B="AI")*(C:C="Appropriateness"))</f>
        <v>2</v>
      </c>
      <c r="Q53" cm="1">
        <f t="array" ref="Q53">_xlfn._xlws.FILTER(D:D, (A:A=$L53)*(B:B="AI")*(C:C="Relevance"))</f>
        <v>2</v>
      </c>
      <c r="R53">
        <f t="shared" si="16"/>
        <v>3</v>
      </c>
      <c r="S53">
        <f t="shared" si="17"/>
        <v>4</v>
      </c>
      <c r="U53" s="2">
        <v>85</v>
      </c>
      <c r="V53" cm="1">
        <f t="array" ref="V53">_xlfn._xlws.FILTER(D:D, (A:A=$U53)*(B:B="Therapist")*(C:C="Distress Check"))</f>
        <v>5</v>
      </c>
      <c r="W53" cm="1">
        <f t="array" ref="W53">_xlfn._xlws.FILTER(D:D, (A:A=$U53)*(B:B="Therapist")*(C:C="Writing Reflection"))</f>
        <v>5</v>
      </c>
      <c r="X53" cm="1">
        <f t="array" ref="X53">_xlfn._xlws.FILTER(D:D, (A:A=$U53)*(B:B="Therapist")*(C:C="Avoids Processing"))</f>
        <v>2</v>
      </c>
      <c r="Y53" cm="1">
        <f t="array" ref="Y53">_xlfn._xlws.FILTER(D:D, (A:A=$U53)*(B:B="Therapist")*(C:C="Appropriateness"))</f>
        <v>3</v>
      </c>
      <c r="Z53" cm="1">
        <f t="array" ref="Z53">_xlfn._xlws.FILTER(D:D, (A:A=$U53)*(B:B="Therapist")*(C:C="Relevance"))</f>
        <v>5</v>
      </c>
      <c r="AA53">
        <f t="shared" si="18"/>
        <v>10</v>
      </c>
      <c r="AB53">
        <f t="shared" si="19"/>
        <v>8</v>
      </c>
    </row>
    <row r="54" spans="1:28">
      <c r="A54">
        <v>20</v>
      </c>
      <c r="B54" t="str">
        <f t="shared" ref="B54:C54" si="53">B44</f>
        <v>AI</v>
      </c>
      <c r="C54" t="str">
        <f t="shared" si="53"/>
        <v>Avoids Processing</v>
      </c>
      <c r="D54">
        <v>1</v>
      </c>
      <c r="G54" s="2" t="s">
        <v>98</v>
      </c>
      <c r="H54">
        <f>_xlfn.VAR.S(H2, H50)</f>
        <v>5.0000000000000088E-3</v>
      </c>
      <c r="I54">
        <f t="shared" ref="I54:J54" si="54">_xlfn.VAR.S(I2, I50)</f>
        <v>3.125</v>
      </c>
      <c r="J54">
        <f t="shared" si="54"/>
        <v>0.6328125</v>
      </c>
      <c r="L54" s="2">
        <v>87</v>
      </c>
      <c r="M54" cm="1">
        <f t="array" ref="M54">_xlfn._xlws.FILTER(D:D, (A:A=$L54)*(B:B="AI")*(C:C="Distress Check"))</f>
        <v>2</v>
      </c>
      <c r="N54" cm="1">
        <f t="array" ref="N54">_xlfn._xlws.FILTER(D:D, (A:A=$L54)*(B:B="AI")*(C:C="Writing Reflection"))</f>
        <v>2</v>
      </c>
      <c r="O54" cm="1">
        <f t="array" ref="O54">_xlfn._xlws.FILTER(D:D, (A:A=$L54)*(B:B="AI")*(C:C="Avoids Processing"))</f>
        <v>1</v>
      </c>
      <c r="P54" cm="1">
        <f t="array" ref="P54">_xlfn._xlws.FILTER(D:D, (A:A=$L54)*(B:B="AI")*(C:C="Appropriateness"))</f>
        <v>3</v>
      </c>
      <c r="Q54" cm="1">
        <f t="array" ref="Q54">_xlfn._xlws.FILTER(D:D, (A:A=$L54)*(B:B="AI")*(C:C="Relevance"))</f>
        <v>2</v>
      </c>
      <c r="R54">
        <f t="shared" si="16"/>
        <v>4</v>
      </c>
      <c r="S54">
        <f t="shared" si="17"/>
        <v>5</v>
      </c>
      <c r="U54" s="2">
        <v>87</v>
      </c>
      <c r="V54" cm="1">
        <f t="array" ref="V54">_xlfn._xlws.FILTER(D:D, (A:A=$U54)*(B:B="Therapist")*(C:C="Distress Check"))</f>
        <v>4</v>
      </c>
      <c r="W54" cm="1">
        <f t="array" ref="W54">_xlfn._xlws.FILTER(D:D, (A:A=$U54)*(B:B="Therapist")*(C:C="Writing Reflection"))</f>
        <v>3</v>
      </c>
      <c r="X54" cm="1">
        <f t="array" ref="X54">_xlfn._xlws.FILTER(D:D, (A:A=$U54)*(B:B="Therapist")*(C:C="Avoids Processing"))</f>
        <v>3</v>
      </c>
      <c r="Y54" cm="1">
        <f t="array" ref="Y54">_xlfn._xlws.FILTER(D:D, (A:A=$U54)*(B:B="Therapist")*(C:C="Appropriateness"))</f>
        <v>5</v>
      </c>
      <c r="Z54" cm="1">
        <f t="array" ref="Z54">_xlfn._xlws.FILTER(D:D, (A:A=$U54)*(B:B="Therapist")*(C:C="Relevance"))</f>
        <v>3</v>
      </c>
      <c r="AA54">
        <f t="shared" si="18"/>
        <v>7</v>
      </c>
      <c r="AB54">
        <f t="shared" si="19"/>
        <v>8</v>
      </c>
    </row>
    <row r="55" spans="1:28">
      <c r="A55">
        <v>20</v>
      </c>
      <c r="B55" t="str">
        <f t="shared" ref="B55:C55" si="55">B45</f>
        <v>AI</v>
      </c>
      <c r="C55" t="str">
        <f t="shared" si="55"/>
        <v>Appropriateness</v>
      </c>
      <c r="D55">
        <v>2</v>
      </c>
      <c r="E55" t="s">
        <v>21</v>
      </c>
      <c r="G55" s="2" t="s">
        <v>106</v>
      </c>
      <c r="H55" t="s">
        <v>108</v>
      </c>
      <c r="I55" t="s">
        <v>110</v>
      </c>
      <c r="J55" t="s">
        <v>113</v>
      </c>
      <c r="L55" s="2">
        <v>88</v>
      </c>
      <c r="M55" cm="1">
        <f t="array" ref="M55">_xlfn._xlws.FILTER(D:D, (A:A=$L55)*(B:B="AI")*(C:C="Distress Check"))</f>
        <v>1</v>
      </c>
      <c r="N55" cm="1">
        <f t="array" ref="N55">_xlfn._xlws.FILTER(D:D, (A:A=$L55)*(B:B="AI")*(C:C="Writing Reflection"))</f>
        <v>2</v>
      </c>
      <c r="O55" cm="1">
        <f t="array" ref="O55">_xlfn._xlws.FILTER(D:D, (A:A=$L55)*(B:B="AI")*(C:C="Avoids Processing"))</f>
        <v>1</v>
      </c>
      <c r="P55" cm="1">
        <f t="array" ref="P55">_xlfn._xlws.FILTER(D:D, (A:A=$L55)*(B:B="AI")*(C:C="Appropriateness"))</f>
        <v>1</v>
      </c>
      <c r="Q55" cm="1">
        <f t="array" ref="Q55">_xlfn._xlws.FILTER(D:D, (A:A=$L55)*(B:B="AI")*(C:C="Relevance"))</f>
        <v>2</v>
      </c>
      <c r="R55">
        <f t="shared" si="16"/>
        <v>3</v>
      </c>
      <c r="S55">
        <f t="shared" si="17"/>
        <v>3</v>
      </c>
      <c r="U55" s="2">
        <v>88</v>
      </c>
      <c r="V55" cm="1">
        <f t="array" ref="V55">_xlfn._xlws.FILTER(D:D, (A:A=$U55)*(B:B="Therapist")*(C:C="Distress Check"))</f>
        <v>4</v>
      </c>
      <c r="W55" cm="1">
        <f t="array" ref="W55">_xlfn._xlws.FILTER(D:D, (A:A=$U55)*(B:B="Therapist")*(C:C="Writing Reflection"))</f>
        <v>4</v>
      </c>
      <c r="X55" cm="1">
        <f t="array" ref="X55">_xlfn._xlws.FILTER(D:D, (A:A=$U55)*(B:B="Therapist")*(C:C="Avoids Processing"))</f>
        <v>3</v>
      </c>
      <c r="Y55" cm="1">
        <f t="array" ref="Y55">_xlfn._xlws.FILTER(D:D, (A:A=$U55)*(B:B="Therapist")*(C:C="Appropriateness"))</f>
        <v>5</v>
      </c>
      <c r="Z55" cm="1">
        <f t="array" ref="Z55">_xlfn._xlws.FILTER(D:D, (A:A=$U55)*(B:B="Therapist")*(C:C="Relevance"))</f>
        <v>4</v>
      </c>
      <c r="AA55">
        <f t="shared" si="18"/>
        <v>8</v>
      </c>
      <c r="AB55">
        <f t="shared" si="19"/>
        <v>9</v>
      </c>
    </row>
    <row r="56" spans="1:28">
      <c r="A56">
        <v>20</v>
      </c>
      <c r="B56" t="str">
        <f t="shared" ref="B56:C56" si="56">B46</f>
        <v>AI</v>
      </c>
      <c r="C56" t="str">
        <f t="shared" si="56"/>
        <v>Relevance</v>
      </c>
      <c r="D56">
        <v>3</v>
      </c>
      <c r="E56" t="s">
        <v>20</v>
      </c>
      <c r="G56" s="2" t="s">
        <v>107</v>
      </c>
      <c r="H56" t="s">
        <v>109</v>
      </c>
      <c r="I56" t="s">
        <v>111</v>
      </c>
      <c r="J56" t="s">
        <v>112</v>
      </c>
      <c r="L56" s="2">
        <v>90</v>
      </c>
      <c r="M56" cm="1">
        <f t="array" ref="M56">_xlfn._xlws.FILTER(D:D, (A:A=$L56)*(B:B="AI")*(C:C="Distress Check"))</f>
        <v>2</v>
      </c>
      <c r="N56" cm="1">
        <f t="array" ref="N56">_xlfn._xlws.FILTER(D:D, (A:A=$L56)*(B:B="AI")*(C:C="Writing Reflection"))</f>
        <v>2</v>
      </c>
      <c r="O56" cm="1">
        <f t="array" ref="O56">_xlfn._xlws.FILTER(D:D, (A:A=$L56)*(B:B="AI")*(C:C="Avoids Processing"))</f>
        <v>1</v>
      </c>
      <c r="P56" cm="1">
        <f t="array" ref="P56">_xlfn._xlws.FILTER(D:D, (A:A=$L56)*(B:B="AI")*(C:C="Appropriateness"))</f>
        <v>2</v>
      </c>
      <c r="Q56" cm="1">
        <f t="array" ref="Q56">_xlfn._xlws.FILTER(D:D, (A:A=$L56)*(B:B="AI")*(C:C="Relevance"))</f>
        <v>2</v>
      </c>
      <c r="R56">
        <f t="shared" si="16"/>
        <v>4</v>
      </c>
      <c r="S56">
        <f t="shared" si="17"/>
        <v>4</v>
      </c>
      <c r="U56" s="2">
        <v>90</v>
      </c>
      <c r="V56" cm="1">
        <f t="array" ref="V56">_xlfn._xlws.FILTER(D:D, (A:A=$U56)*(B:B="Therapist")*(C:C="Distress Check"))</f>
        <v>3</v>
      </c>
      <c r="W56" cm="1">
        <f t="array" ref="W56">_xlfn._xlws.FILTER(D:D, (A:A=$U56)*(B:B="Therapist")*(C:C="Writing Reflection"))</f>
        <v>4</v>
      </c>
      <c r="X56" cm="1">
        <f t="array" ref="X56">_xlfn._xlws.FILTER(D:D, (A:A=$U56)*(B:B="Therapist")*(C:C="Avoids Processing"))</f>
        <v>3</v>
      </c>
      <c r="Y56" cm="1">
        <f t="array" ref="Y56">_xlfn._xlws.FILTER(D:D, (A:A=$U56)*(B:B="Therapist")*(C:C="Appropriateness"))</f>
        <v>5</v>
      </c>
      <c r="Z56" cm="1">
        <f t="array" ref="Z56">_xlfn._xlws.FILTER(D:D, (A:A=$U56)*(B:B="Therapist")*(C:C="Relevance"))</f>
        <v>3</v>
      </c>
      <c r="AA56">
        <f t="shared" si="18"/>
        <v>7</v>
      </c>
      <c r="AB56">
        <f t="shared" si="19"/>
        <v>8</v>
      </c>
    </row>
    <row r="57" spans="1:28">
      <c r="A57">
        <v>20</v>
      </c>
      <c r="B57" t="str">
        <f t="shared" ref="B57:C57" si="57">B47</f>
        <v>Therapist</v>
      </c>
      <c r="C57" t="str">
        <f t="shared" si="57"/>
        <v>Distress Check</v>
      </c>
      <c r="D57">
        <v>5</v>
      </c>
      <c r="G57" s="2" t="s">
        <v>114</v>
      </c>
      <c r="H57" t="s">
        <v>124</v>
      </c>
      <c r="I57" t="s">
        <v>125</v>
      </c>
      <c r="J57" t="s">
        <v>126</v>
      </c>
      <c r="L57" s="2">
        <v>91</v>
      </c>
      <c r="M57" cm="1">
        <f t="array" ref="M57">_xlfn._xlws.FILTER(D:D, (A:A=$L57)*(B:B="AI")*(C:C="Distress Check"))</f>
        <v>2</v>
      </c>
      <c r="N57" cm="1">
        <f t="array" ref="N57">_xlfn._xlws.FILTER(D:D, (A:A=$L57)*(B:B="AI")*(C:C="Writing Reflection"))</f>
        <v>2</v>
      </c>
      <c r="O57" cm="1">
        <f t="array" ref="O57">_xlfn._xlws.FILTER(D:D, (A:A=$L57)*(B:B="AI")*(C:C="Avoids Processing"))</f>
        <v>1</v>
      </c>
      <c r="P57" cm="1">
        <f t="array" ref="P57">_xlfn._xlws.FILTER(D:D, (A:A=$L57)*(B:B="AI")*(C:C="Appropriateness"))</f>
        <v>1</v>
      </c>
      <c r="Q57" cm="1">
        <f t="array" ref="Q57">_xlfn._xlws.FILTER(D:D, (A:A=$L57)*(B:B="AI")*(C:C="Relevance"))</f>
        <v>2</v>
      </c>
      <c r="R57">
        <f t="shared" si="16"/>
        <v>4</v>
      </c>
      <c r="S57">
        <f t="shared" si="17"/>
        <v>3</v>
      </c>
      <c r="U57" s="2">
        <v>91</v>
      </c>
      <c r="V57" cm="1">
        <f t="array" ref="V57">_xlfn._xlws.FILTER(D:D, (A:A=$U57)*(B:B="Therapist")*(C:C="Distress Check"))</f>
        <v>2</v>
      </c>
      <c r="W57" cm="1">
        <f t="array" ref="W57">_xlfn._xlws.FILTER(D:D, (A:A=$U57)*(B:B="Therapist")*(C:C="Writing Reflection"))</f>
        <v>5</v>
      </c>
      <c r="X57" cm="1">
        <f t="array" ref="X57">_xlfn._xlws.FILTER(D:D, (A:A=$U57)*(B:B="Therapist")*(C:C="Avoids Processing"))</f>
        <v>3</v>
      </c>
      <c r="Y57" cm="1">
        <f t="array" ref="Y57">_xlfn._xlws.FILTER(D:D, (A:A=$U57)*(B:B="Therapist")*(C:C="Appropriateness"))</f>
        <v>3</v>
      </c>
      <c r="Z57" cm="1">
        <f t="array" ref="Z57">_xlfn._xlws.FILTER(D:D, (A:A=$U57)*(B:B="Therapist")*(C:C="Relevance"))</f>
        <v>5</v>
      </c>
      <c r="AA57">
        <f t="shared" si="18"/>
        <v>7</v>
      </c>
      <c r="AB57">
        <f t="shared" si="19"/>
        <v>8</v>
      </c>
    </row>
    <row r="58" spans="1:28">
      <c r="A58">
        <v>20</v>
      </c>
      <c r="B58" t="str">
        <f t="shared" ref="B58:C58" si="58">B48</f>
        <v>Therapist</v>
      </c>
      <c r="C58" t="str">
        <f t="shared" si="58"/>
        <v>Writing Reflection</v>
      </c>
      <c r="D58">
        <v>4</v>
      </c>
      <c r="H58" t="s">
        <v>115</v>
      </c>
      <c r="I58" t="s">
        <v>116</v>
      </c>
      <c r="J58" t="s">
        <v>117</v>
      </c>
      <c r="L58" s="2">
        <v>92</v>
      </c>
      <c r="M58" cm="1">
        <f t="array" ref="M58">_xlfn._xlws.FILTER(D:D, (A:A=$L58)*(B:B="AI")*(C:C="Distress Check"))</f>
        <v>2</v>
      </c>
      <c r="N58" cm="1">
        <f t="array" ref="N58">_xlfn._xlws.FILTER(D:D, (A:A=$L58)*(B:B="AI")*(C:C="Writing Reflection"))</f>
        <v>2</v>
      </c>
      <c r="O58" cm="1">
        <f t="array" ref="O58">_xlfn._xlws.FILTER(D:D, (A:A=$L58)*(B:B="AI")*(C:C="Avoids Processing"))</f>
        <v>1</v>
      </c>
      <c r="P58" cm="1">
        <f t="array" ref="P58">_xlfn._xlws.FILTER(D:D, (A:A=$L58)*(B:B="AI")*(C:C="Appropriateness"))</f>
        <v>4</v>
      </c>
      <c r="Q58" cm="1">
        <f t="array" ref="Q58">_xlfn._xlws.FILTER(D:D, (A:A=$L58)*(B:B="AI")*(C:C="Relevance"))</f>
        <v>2</v>
      </c>
      <c r="R58">
        <f t="shared" si="16"/>
        <v>4</v>
      </c>
      <c r="S58">
        <f t="shared" si="17"/>
        <v>6</v>
      </c>
      <c r="U58" s="2">
        <v>92</v>
      </c>
      <c r="V58" cm="1">
        <f t="array" ref="V58">_xlfn._xlws.FILTER(D:D, (A:A=$U58)*(B:B="Therapist")*(C:C="Distress Check"))</f>
        <v>2</v>
      </c>
      <c r="W58" cm="1">
        <f t="array" ref="W58">_xlfn._xlws.FILTER(D:D, (A:A=$U58)*(B:B="Therapist")*(C:C="Writing Reflection"))</f>
        <v>3</v>
      </c>
      <c r="X58" cm="1">
        <f t="array" ref="X58">_xlfn._xlws.FILTER(D:D, (A:A=$U58)*(B:B="Therapist")*(C:C="Avoids Processing"))</f>
        <v>5</v>
      </c>
      <c r="Y58" cm="1">
        <f t="array" ref="Y58">_xlfn._xlws.FILTER(D:D, (A:A=$U58)*(B:B="Therapist")*(C:C="Appropriateness"))</f>
        <v>5</v>
      </c>
      <c r="Z58" cm="1">
        <f t="array" ref="Z58">_xlfn._xlws.FILTER(D:D, (A:A=$U58)*(B:B="Therapist")*(C:C="Relevance"))</f>
        <v>3</v>
      </c>
      <c r="AA58">
        <f t="shared" si="18"/>
        <v>5</v>
      </c>
      <c r="AB58">
        <f t="shared" si="19"/>
        <v>8</v>
      </c>
    </row>
    <row r="59" spans="1:28">
      <c r="A59">
        <v>20</v>
      </c>
      <c r="B59" t="str">
        <f t="shared" ref="B59:C59" si="59">B49</f>
        <v>Therapist</v>
      </c>
      <c r="C59" t="str">
        <f t="shared" si="59"/>
        <v>Avoids Processing</v>
      </c>
      <c r="D59">
        <v>2</v>
      </c>
      <c r="H59" t="s">
        <v>118</v>
      </c>
      <c r="I59" t="s">
        <v>119</v>
      </c>
      <c r="J59" t="s">
        <v>120</v>
      </c>
      <c r="L59" s="2">
        <v>96</v>
      </c>
      <c r="M59" cm="1">
        <f t="array" ref="M59">_xlfn._xlws.FILTER(D:D, (A:A=$L59)*(B:B="AI")*(C:C="Distress Check"))</f>
        <v>2</v>
      </c>
      <c r="N59" cm="1">
        <f t="array" ref="N59">_xlfn._xlws.FILTER(D:D, (A:A=$L59)*(B:B="AI")*(C:C="Writing Reflection"))</f>
        <v>2</v>
      </c>
      <c r="O59" cm="1">
        <f t="array" ref="O59">_xlfn._xlws.FILTER(D:D, (A:A=$L59)*(B:B="AI")*(C:C="Avoids Processing"))</f>
        <v>1</v>
      </c>
      <c r="P59" cm="1">
        <f t="array" ref="P59">_xlfn._xlws.FILTER(D:D, (A:A=$L59)*(B:B="AI")*(C:C="Appropriateness"))</f>
        <v>2</v>
      </c>
      <c r="Q59" cm="1">
        <f t="array" ref="Q59">_xlfn._xlws.FILTER(D:D, (A:A=$L59)*(B:B="AI")*(C:C="Relevance"))</f>
        <v>2</v>
      </c>
      <c r="R59">
        <f t="shared" si="16"/>
        <v>4</v>
      </c>
      <c r="S59">
        <f t="shared" si="17"/>
        <v>4</v>
      </c>
      <c r="U59" s="2">
        <v>96</v>
      </c>
      <c r="V59" cm="1">
        <f t="array" ref="V59">_xlfn._xlws.FILTER(D:D, (A:A=$U59)*(B:B="Therapist")*(C:C="Distress Check"))</f>
        <v>4</v>
      </c>
      <c r="W59" cm="1">
        <f t="array" ref="W59">_xlfn._xlws.FILTER(D:D, (A:A=$U59)*(B:B="Therapist")*(C:C="Writing Reflection"))</f>
        <v>4</v>
      </c>
      <c r="X59" cm="1">
        <f t="array" ref="X59">_xlfn._xlws.FILTER(D:D, (A:A=$U59)*(B:B="Therapist")*(C:C="Avoids Processing"))</f>
        <v>3</v>
      </c>
      <c r="Y59" cm="1">
        <f t="array" ref="Y59">_xlfn._xlws.FILTER(D:D, (A:A=$U59)*(B:B="Therapist")*(C:C="Appropriateness"))</f>
        <v>4</v>
      </c>
      <c r="Z59" cm="1">
        <f t="array" ref="Z59">_xlfn._xlws.FILTER(D:D, (A:A=$U59)*(B:B="Therapist")*(C:C="Relevance"))</f>
        <v>3</v>
      </c>
      <c r="AA59">
        <f t="shared" si="18"/>
        <v>8</v>
      </c>
      <c r="AB59">
        <f t="shared" si="19"/>
        <v>7</v>
      </c>
    </row>
    <row r="60" spans="1:28">
      <c r="A60">
        <v>20</v>
      </c>
      <c r="B60" t="str">
        <f t="shared" ref="B60:C60" si="60">B50</f>
        <v>Therapist</v>
      </c>
      <c r="C60" t="str">
        <f t="shared" si="60"/>
        <v>Appropriateness</v>
      </c>
      <c r="D60">
        <v>5</v>
      </c>
      <c r="H60" t="s">
        <v>121</v>
      </c>
      <c r="I60" t="s">
        <v>122</v>
      </c>
      <c r="J60" t="s">
        <v>123</v>
      </c>
      <c r="L60" s="2">
        <v>97</v>
      </c>
      <c r="M60" cm="1">
        <f t="array" ref="M60">_xlfn._xlws.FILTER(D:D, (A:A=$L60)*(B:B="AI")*(C:C="Distress Check"))</f>
        <v>3</v>
      </c>
      <c r="N60" cm="1">
        <f t="array" ref="N60">_xlfn._xlws.FILTER(D:D, (A:A=$L60)*(B:B="AI")*(C:C="Writing Reflection"))</f>
        <v>2</v>
      </c>
      <c r="O60" cm="1">
        <f t="array" ref="O60">_xlfn._xlws.FILTER(D:D, (A:A=$L60)*(B:B="AI")*(C:C="Avoids Processing"))</f>
        <v>1</v>
      </c>
      <c r="P60" cm="1">
        <f t="array" ref="P60">_xlfn._xlws.FILTER(D:D, (A:A=$L60)*(B:B="AI")*(C:C="Appropriateness"))</f>
        <v>2</v>
      </c>
      <c r="Q60" cm="1">
        <f t="array" ref="Q60">_xlfn._xlws.FILTER(D:D, (A:A=$L60)*(B:B="AI")*(C:C="Relevance"))</f>
        <v>2</v>
      </c>
      <c r="R60">
        <f t="shared" si="16"/>
        <v>5</v>
      </c>
      <c r="S60">
        <f t="shared" si="17"/>
        <v>4</v>
      </c>
      <c r="U60" s="2">
        <v>97</v>
      </c>
      <c r="V60" cm="1">
        <f t="array" ref="V60">_xlfn._xlws.FILTER(D:D, (A:A=$U60)*(B:B="Therapist")*(C:C="Distress Check"))</f>
        <v>4</v>
      </c>
      <c r="W60" cm="1">
        <f t="array" ref="W60">_xlfn._xlws.FILTER(D:D, (A:A=$U60)*(B:B="Therapist")*(C:C="Writing Reflection"))</f>
        <v>3</v>
      </c>
      <c r="X60" cm="1">
        <f t="array" ref="X60">_xlfn._xlws.FILTER(D:D, (A:A=$U60)*(B:B="Therapist")*(C:C="Avoids Processing"))</f>
        <v>5</v>
      </c>
      <c r="Y60" cm="1">
        <f t="array" ref="Y60">_xlfn._xlws.FILTER(D:D, (A:A=$U60)*(B:B="Therapist")*(C:C="Appropriateness"))</f>
        <v>4</v>
      </c>
      <c r="Z60" cm="1">
        <f t="array" ref="Z60">_xlfn._xlws.FILTER(D:D, (A:A=$U60)*(B:B="Therapist")*(C:C="Relevance"))</f>
        <v>4</v>
      </c>
      <c r="AA60">
        <f t="shared" si="18"/>
        <v>7</v>
      </c>
      <c r="AB60">
        <f t="shared" si="19"/>
        <v>8</v>
      </c>
    </row>
    <row r="61" spans="1:28">
      <c r="A61">
        <v>20</v>
      </c>
      <c r="B61" t="str">
        <f t="shared" ref="B61:C61" si="61">B51</f>
        <v>Therapist</v>
      </c>
      <c r="C61" t="str">
        <f t="shared" si="61"/>
        <v>Relevance</v>
      </c>
      <c r="D61">
        <v>5</v>
      </c>
      <c r="L61" s="2">
        <v>101</v>
      </c>
      <c r="M61" cm="1">
        <f t="array" ref="M61">_xlfn._xlws.FILTER(D:D, (A:A=$L61)*(B:B="AI")*(C:C="Distress Check"))</f>
        <v>3</v>
      </c>
      <c r="N61" cm="1">
        <f t="array" ref="N61">_xlfn._xlws.FILTER(D:D, (A:A=$L61)*(B:B="AI")*(C:C="Writing Reflection"))</f>
        <v>2</v>
      </c>
      <c r="O61" cm="1">
        <f t="array" ref="O61">_xlfn._xlws.FILTER(D:D, (A:A=$L61)*(B:B="AI")*(C:C="Avoids Processing"))</f>
        <v>1</v>
      </c>
      <c r="P61" cm="1">
        <f t="array" ref="P61">_xlfn._xlws.FILTER(D:D, (A:A=$L61)*(B:B="AI")*(C:C="Appropriateness"))</f>
        <v>2</v>
      </c>
      <c r="Q61" cm="1">
        <f t="array" ref="Q61">_xlfn._xlws.FILTER(D:D, (A:A=$L61)*(B:B="AI")*(C:C="Relevance"))</f>
        <v>2</v>
      </c>
      <c r="R61">
        <f t="shared" si="16"/>
        <v>5</v>
      </c>
      <c r="S61">
        <f t="shared" si="17"/>
        <v>4</v>
      </c>
      <c r="U61" s="2">
        <v>101</v>
      </c>
      <c r="V61" cm="1">
        <f t="array" ref="V61">_xlfn._xlws.FILTER(D:D, (A:A=$U61)*(B:B="Therapist")*(C:C="Distress Check"))</f>
        <v>5</v>
      </c>
      <c r="W61" cm="1">
        <f t="array" ref="W61">_xlfn._xlws.FILTER(D:D, (A:A=$U61)*(B:B="Therapist")*(C:C="Writing Reflection"))</f>
        <v>5</v>
      </c>
      <c r="X61" cm="1">
        <f t="array" ref="X61">_xlfn._xlws.FILTER(D:D, (A:A=$U61)*(B:B="Therapist")*(C:C="Avoids Processing"))</f>
        <v>3</v>
      </c>
      <c r="Y61" cm="1">
        <f t="array" ref="Y61">_xlfn._xlws.FILTER(D:D, (A:A=$U61)*(B:B="Therapist")*(C:C="Appropriateness"))</f>
        <v>5</v>
      </c>
      <c r="Z61" cm="1">
        <f t="array" ref="Z61">_xlfn._xlws.FILTER(D:D, (A:A=$U61)*(B:B="Therapist")*(C:C="Relevance"))</f>
        <v>4</v>
      </c>
      <c r="AA61">
        <f t="shared" si="18"/>
        <v>10</v>
      </c>
      <c r="AB61">
        <f t="shared" si="19"/>
        <v>9</v>
      </c>
    </row>
    <row r="62" spans="1:28">
      <c r="A62">
        <v>23</v>
      </c>
      <c r="B62" t="str">
        <f t="shared" ref="B62:C62" si="62">B52</f>
        <v>AI</v>
      </c>
      <c r="C62" t="str">
        <f t="shared" si="62"/>
        <v>Distress Check</v>
      </c>
      <c r="D62">
        <v>2</v>
      </c>
      <c r="L62" s="2">
        <v>102</v>
      </c>
      <c r="M62" cm="1">
        <f t="array" ref="M62">_xlfn._xlws.FILTER(D:D, (A:A=$L62)*(B:B="AI")*(C:C="Distress Check"))</f>
        <v>1</v>
      </c>
      <c r="N62" cm="1">
        <f t="array" ref="N62">_xlfn._xlws.FILTER(D:D, (A:A=$L62)*(B:B="AI")*(C:C="Writing Reflection"))</f>
        <v>2</v>
      </c>
      <c r="O62" cm="1">
        <f t="array" ref="O62">_xlfn._xlws.FILTER(D:D, (A:A=$L62)*(B:B="AI")*(C:C="Avoids Processing"))</f>
        <v>1</v>
      </c>
      <c r="P62" cm="1">
        <f t="array" ref="P62">_xlfn._xlws.FILTER(D:D, (A:A=$L62)*(B:B="AI")*(C:C="Appropriateness"))</f>
        <v>2</v>
      </c>
      <c r="Q62" cm="1">
        <f t="array" ref="Q62">_xlfn._xlws.FILTER(D:D, (A:A=$L62)*(B:B="AI")*(C:C="Relevance"))</f>
        <v>2</v>
      </c>
      <c r="R62">
        <f t="shared" si="16"/>
        <v>3</v>
      </c>
      <c r="S62">
        <f t="shared" si="17"/>
        <v>4</v>
      </c>
      <c r="U62" s="2">
        <v>102</v>
      </c>
      <c r="V62" cm="1">
        <f t="array" ref="V62">_xlfn._xlws.FILTER(D:D, (A:A=$U62)*(B:B="Therapist")*(C:C="Distress Check"))</f>
        <v>3</v>
      </c>
      <c r="W62" cm="1">
        <f t="array" ref="W62">_xlfn._xlws.FILTER(D:D, (A:A=$U62)*(B:B="Therapist")*(C:C="Writing Reflection"))</f>
        <v>3</v>
      </c>
      <c r="X62" cm="1">
        <f t="array" ref="X62">_xlfn._xlws.FILTER(D:D, (A:A=$U62)*(B:B="Therapist")*(C:C="Avoids Processing"))</f>
        <v>3</v>
      </c>
      <c r="Y62" cm="1">
        <f t="array" ref="Y62">_xlfn._xlws.FILTER(D:D, (A:A=$U62)*(B:B="Therapist")*(C:C="Appropriateness"))</f>
        <v>3</v>
      </c>
      <c r="Z62" cm="1">
        <f t="array" ref="Z62">_xlfn._xlws.FILTER(D:D, (A:A=$U62)*(B:B="Therapist")*(C:C="Relevance"))</f>
        <v>3</v>
      </c>
      <c r="AA62">
        <f t="shared" si="18"/>
        <v>6</v>
      </c>
      <c r="AB62">
        <f t="shared" si="19"/>
        <v>6</v>
      </c>
    </row>
    <row r="63" spans="1:28">
      <c r="A63">
        <v>23</v>
      </c>
      <c r="B63" t="str">
        <f t="shared" ref="B63:C63" si="63">B53</f>
        <v>AI</v>
      </c>
      <c r="C63" t="str">
        <f t="shared" si="63"/>
        <v>Writing Reflection</v>
      </c>
      <c r="D63">
        <v>4</v>
      </c>
      <c r="L63" s="2">
        <v>115</v>
      </c>
      <c r="M63" cm="1">
        <f t="array" ref="M63">_xlfn._xlws.FILTER(D:D, (A:A=$L63)*(B:B="AI")*(C:C="Distress Check"))</f>
        <v>1</v>
      </c>
      <c r="N63" cm="1">
        <f t="array" ref="N63">_xlfn._xlws.FILTER(D:D, (A:A=$L63)*(B:B="AI")*(C:C="Writing Reflection"))</f>
        <v>2</v>
      </c>
      <c r="O63" cm="1">
        <f t="array" ref="O63">_xlfn._xlws.FILTER(D:D, (A:A=$L63)*(B:B="AI")*(C:C="Avoids Processing"))</f>
        <v>1</v>
      </c>
      <c r="P63" cm="1">
        <f t="array" ref="P63">_xlfn._xlws.FILTER(D:D, (A:A=$L63)*(B:B="AI")*(C:C="Appropriateness"))</f>
        <v>2</v>
      </c>
      <c r="Q63" cm="1">
        <f t="array" ref="Q63">_xlfn._xlws.FILTER(D:D, (A:A=$L63)*(B:B="AI")*(C:C="Relevance"))</f>
        <v>2</v>
      </c>
      <c r="R63">
        <f t="shared" si="16"/>
        <v>3</v>
      </c>
      <c r="S63">
        <f t="shared" si="17"/>
        <v>4</v>
      </c>
      <c r="U63" s="2">
        <v>115</v>
      </c>
      <c r="V63" cm="1">
        <f t="array" ref="V63">_xlfn._xlws.FILTER(D:D, (A:A=$U63)*(B:B="Therapist")*(C:C="Distress Check"))</f>
        <v>3</v>
      </c>
      <c r="W63" cm="1">
        <f t="array" ref="W63">_xlfn._xlws.FILTER(D:D, (A:A=$U63)*(B:B="Therapist")*(C:C="Writing Reflection"))</f>
        <v>3</v>
      </c>
      <c r="X63" cm="1">
        <f t="array" ref="X63">_xlfn._xlws.FILTER(D:D, (A:A=$U63)*(B:B="Therapist")*(C:C="Avoids Processing"))</f>
        <v>2</v>
      </c>
      <c r="Y63" cm="1">
        <f t="array" ref="Y63">_xlfn._xlws.FILTER(D:D, (A:A=$U63)*(B:B="Therapist")*(C:C="Appropriateness"))</f>
        <v>3</v>
      </c>
      <c r="Z63" cm="1">
        <f t="array" ref="Z63">_xlfn._xlws.FILTER(D:D, (A:A=$U63)*(B:B="Therapist")*(C:C="Relevance"))</f>
        <v>2</v>
      </c>
      <c r="AA63">
        <f t="shared" si="18"/>
        <v>6</v>
      </c>
      <c r="AB63">
        <f t="shared" si="19"/>
        <v>5</v>
      </c>
    </row>
    <row r="64" spans="1:28">
      <c r="A64">
        <v>23</v>
      </c>
      <c r="B64" t="str">
        <f t="shared" ref="B64:C64" si="64">B54</f>
        <v>AI</v>
      </c>
      <c r="C64" t="str">
        <f t="shared" si="64"/>
        <v>Avoids Processing</v>
      </c>
      <c r="D64">
        <v>1</v>
      </c>
      <c r="L64" s="2">
        <v>116</v>
      </c>
      <c r="M64" cm="1">
        <f t="array" ref="M64">_xlfn._xlws.FILTER(D:D, (A:A=$L64)*(B:B="AI")*(C:C="Distress Check"))</f>
        <v>1</v>
      </c>
      <c r="N64" cm="1">
        <f t="array" ref="N64">_xlfn._xlws.FILTER(D:D, (A:A=$L64)*(B:B="AI")*(C:C="Writing Reflection"))</f>
        <v>2</v>
      </c>
      <c r="O64" cm="1">
        <f t="array" ref="O64">_xlfn._xlws.FILTER(D:D, (A:A=$L64)*(B:B="AI")*(C:C="Avoids Processing"))</f>
        <v>1</v>
      </c>
      <c r="P64" cm="1">
        <f t="array" ref="P64">_xlfn._xlws.FILTER(D:D, (A:A=$L64)*(B:B="AI")*(C:C="Appropriateness"))</f>
        <v>2</v>
      </c>
      <c r="Q64" cm="1">
        <f t="array" ref="Q64">_xlfn._xlws.FILTER(D:D, (A:A=$L64)*(B:B="AI")*(C:C="Relevance"))</f>
        <v>2</v>
      </c>
      <c r="R64">
        <f t="shared" si="16"/>
        <v>3</v>
      </c>
      <c r="S64">
        <f t="shared" si="17"/>
        <v>4</v>
      </c>
      <c r="U64" s="2">
        <v>116</v>
      </c>
      <c r="V64" cm="1">
        <f t="array" ref="V64">_xlfn._xlws.FILTER(D:D, (A:A=$U64)*(B:B="Therapist")*(C:C="Distress Check"))</f>
        <v>2</v>
      </c>
      <c r="W64" cm="1">
        <f t="array" ref="W64">_xlfn._xlws.FILTER(D:D, (A:A=$U64)*(B:B="Therapist")*(C:C="Writing Reflection"))</f>
        <v>4</v>
      </c>
      <c r="X64" cm="1">
        <f t="array" ref="X64">_xlfn._xlws.FILTER(D:D, (A:A=$U64)*(B:B="Therapist")*(C:C="Avoids Processing"))</f>
        <v>5</v>
      </c>
      <c r="Y64" cm="1">
        <f t="array" ref="Y64">_xlfn._xlws.FILTER(D:D, (A:A=$U64)*(B:B="Therapist")*(C:C="Appropriateness"))</f>
        <v>5</v>
      </c>
      <c r="Z64" cm="1">
        <f t="array" ref="Z64">_xlfn._xlws.FILTER(D:D, (A:A=$U64)*(B:B="Therapist")*(C:C="Relevance"))</f>
        <v>4</v>
      </c>
      <c r="AA64">
        <f t="shared" si="18"/>
        <v>6</v>
      </c>
      <c r="AB64">
        <f t="shared" si="19"/>
        <v>9</v>
      </c>
    </row>
    <row r="65" spans="1:28">
      <c r="A65">
        <v>23</v>
      </c>
      <c r="B65" t="str">
        <f t="shared" ref="B65:C65" si="65">B55</f>
        <v>AI</v>
      </c>
      <c r="C65" t="str">
        <f t="shared" si="65"/>
        <v>Appropriateness</v>
      </c>
      <c r="D65">
        <v>4</v>
      </c>
      <c r="L65" s="2">
        <v>120</v>
      </c>
      <c r="M65" cm="1">
        <f t="array" ref="M65">_xlfn._xlws.FILTER(D:D, (A:A=$L65)*(B:B="AI")*(C:C="Distress Check"))</f>
        <v>2</v>
      </c>
      <c r="N65" cm="1">
        <f t="array" ref="N65">_xlfn._xlws.FILTER(D:D, (A:A=$L65)*(B:B="AI")*(C:C="Writing Reflection"))</f>
        <v>2</v>
      </c>
      <c r="O65" cm="1">
        <f t="array" ref="O65">_xlfn._xlws.FILTER(D:D, (A:A=$L65)*(B:B="AI")*(C:C="Avoids Processing"))</f>
        <v>1</v>
      </c>
      <c r="P65" cm="1">
        <f t="array" ref="P65">_xlfn._xlws.FILTER(D:D, (A:A=$L65)*(B:B="AI")*(C:C="Appropriateness"))</f>
        <v>2</v>
      </c>
      <c r="Q65" cm="1">
        <f t="array" ref="Q65">_xlfn._xlws.FILTER(D:D, (A:A=$L65)*(B:B="AI")*(C:C="Relevance"))</f>
        <v>2</v>
      </c>
      <c r="R65">
        <f t="shared" si="16"/>
        <v>4</v>
      </c>
      <c r="S65">
        <f t="shared" si="17"/>
        <v>4</v>
      </c>
      <c r="U65" s="2">
        <v>120</v>
      </c>
      <c r="V65" cm="1">
        <f t="array" ref="V65">_xlfn._xlws.FILTER(D:D, (A:A=$U65)*(B:B="Therapist")*(C:C="Distress Check"))</f>
        <v>5</v>
      </c>
      <c r="W65" cm="1">
        <f t="array" ref="W65">_xlfn._xlws.FILTER(D:D, (A:A=$U65)*(B:B="Therapist")*(C:C="Writing Reflection"))</f>
        <v>5</v>
      </c>
      <c r="X65" cm="1">
        <f t="array" ref="X65">_xlfn._xlws.FILTER(D:D, (A:A=$U65)*(B:B="Therapist")*(C:C="Avoids Processing"))</f>
        <v>5</v>
      </c>
      <c r="Y65" cm="1">
        <f t="array" ref="Y65">_xlfn._xlws.FILTER(D:D, (A:A=$U65)*(B:B="Therapist")*(C:C="Appropriateness"))</f>
        <v>5</v>
      </c>
      <c r="Z65" cm="1">
        <f t="array" ref="Z65">_xlfn._xlws.FILTER(D:D, (A:A=$U65)*(B:B="Therapist")*(C:C="Relevance"))</f>
        <v>5</v>
      </c>
      <c r="AA65">
        <f t="shared" si="18"/>
        <v>10</v>
      </c>
      <c r="AB65">
        <f t="shared" si="19"/>
        <v>10</v>
      </c>
    </row>
    <row r="66" spans="1:28">
      <c r="A66">
        <v>23</v>
      </c>
      <c r="B66" t="str">
        <f t="shared" ref="B66:C66" si="66">B56</f>
        <v>AI</v>
      </c>
      <c r="C66" t="str">
        <f t="shared" si="66"/>
        <v>Relevance</v>
      </c>
      <c r="D66">
        <v>5</v>
      </c>
      <c r="L66" s="2">
        <v>121</v>
      </c>
      <c r="M66" cm="1">
        <f t="array" ref="M66">_xlfn._xlws.FILTER(D:D, (A:A=$L66)*(B:B="AI")*(C:C="Distress Check"))</f>
        <v>2</v>
      </c>
      <c r="N66" cm="1">
        <f t="array" ref="N66">_xlfn._xlws.FILTER(D:D, (A:A=$L66)*(B:B="AI")*(C:C="Writing Reflection"))</f>
        <v>2</v>
      </c>
      <c r="O66" cm="1">
        <f t="array" ref="O66">_xlfn._xlws.FILTER(D:D, (A:A=$L66)*(B:B="AI")*(C:C="Avoids Processing"))</f>
        <v>1</v>
      </c>
      <c r="P66" cm="1">
        <f t="array" ref="P66">_xlfn._xlws.FILTER(D:D, (A:A=$L66)*(B:B="AI")*(C:C="Appropriateness"))</f>
        <v>3</v>
      </c>
      <c r="Q66" cm="1">
        <f t="array" ref="Q66">_xlfn._xlws.FILTER(D:D, (A:A=$L66)*(B:B="AI")*(C:C="Relevance"))</f>
        <v>2</v>
      </c>
      <c r="R66">
        <f t="shared" si="16"/>
        <v>4</v>
      </c>
      <c r="S66">
        <f t="shared" si="17"/>
        <v>5</v>
      </c>
      <c r="U66" s="2">
        <v>121</v>
      </c>
      <c r="V66" cm="1">
        <f t="array" ref="V66">_xlfn._xlws.FILTER(D:D, (A:A=$U66)*(B:B="Therapist")*(C:C="Distress Check"))</f>
        <v>4</v>
      </c>
      <c r="W66" cm="1">
        <f t="array" ref="W66">_xlfn._xlws.FILTER(D:D, (A:A=$U66)*(B:B="Therapist")*(C:C="Writing Reflection"))</f>
        <v>5</v>
      </c>
      <c r="X66" cm="1">
        <f t="array" ref="X66">_xlfn._xlws.FILTER(D:D, (A:A=$U66)*(B:B="Therapist")*(C:C="Avoids Processing"))</f>
        <v>4</v>
      </c>
      <c r="Y66" cm="1">
        <f t="array" ref="Y66">_xlfn._xlws.FILTER(D:D, (A:A=$U66)*(B:B="Therapist")*(C:C="Appropriateness"))</f>
        <v>5</v>
      </c>
      <c r="Z66" cm="1">
        <f t="array" ref="Z66">_xlfn._xlws.FILTER(D:D, (A:A=$U66)*(B:B="Therapist")*(C:C="Relevance"))</f>
        <v>3</v>
      </c>
      <c r="AA66">
        <f t="shared" si="18"/>
        <v>9</v>
      </c>
      <c r="AB66">
        <f t="shared" si="19"/>
        <v>8</v>
      </c>
    </row>
    <row r="67" spans="1:28">
      <c r="A67">
        <v>23</v>
      </c>
      <c r="B67" t="str">
        <f t="shared" ref="B67:C67" si="67">B57</f>
        <v>Therapist</v>
      </c>
      <c r="C67" t="str">
        <f t="shared" si="67"/>
        <v>Distress Check</v>
      </c>
      <c r="D67">
        <v>5</v>
      </c>
      <c r="L67" s="2">
        <v>124</v>
      </c>
      <c r="M67" cm="1">
        <f t="array" ref="M67">_xlfn._xlws.FILTER(D:D, (A:A=$L67)*(B:B="AI")*(C:C="Distress Check"))</f>
        <v>2</v>
      </c>
      <c r="N67" cm="1">
        <f t="array" ref="N67">_xlfn._xlws.FILTER(D:D, (A:A=$L67)*(B:B="AI")*(C:C="Writing Reflection"))</f>
        <v>2</v>
      </c>
      <c r="O67" cm="1">
        <f t="array" ref="O67">_xlfn._xlws.FILTER(D:D, (A:A=$L67)*(B:B="AI")*(C:C="Avoids Processing"))</f>
        <v>1</v>
      </c>
      <c r="P67" cm="1">
        <f t="array" ref="P67">_xlfn._xlws.FILTER(D:D, (A:A=$L67)*(B:B="AI")*(C:C="Appropriateness"))</f>
        <v>2</v>
      </c>
      <c r="Q67" cm="1">
        <f t="array" ref="Q67">_xlfn._xlws.FILTER(D:D, (A:A=$L67)*(B:B="AI")*(C:C="Relevance"))</f>
        <v>2</v>
      </c>
      <c r="R67">
        <f t="shared" si="16"/>
        <v>4</v>
      </c>
      <c r="S67">
        <f t="shared" si="17"/>
        <v>4</v>
      </c>
      <c r="U67" s="2">
        <v>124</v>
      </c>
      <c r="V67" cm="1">
        <f t="array" ref="V67">_xlfn._xlws.FILTER(D:D, (A:A=$U67)*(B:B="Therapist")*(C:C="Distress Check"))</f>
        <v>4</v>
      </c>
      <c r="W67" cm="1">
        <f t="array" ref="W67">_xlfn._xlws.FILTER(D:D, (A:A=$U67)*(B:B="Therapist")*(C:C="Writing Reflection"))</f>
        <v>4</v>
      </c>
      <c r="X67" cm="1">
        <f t="array" ref="X67">_xlfn._xlws.FILTER(D:D, (A:A=$U67)*(B:B="Therapist")*(C:C="Avoids Processing"))</f>
        <v>5</v>
      </c>
      <c r="Y67" cm="1">
        <f t="array" ref="Y67">_xlfn._xlws.FILTER(D:D, (A:A=$U67)*(B:B="Therapist")*(C:C="Appropriateness"))</f>
        <v>5</v>
      </c>
      <c r="Z67" cm="1">
        <f t="array" ref="Z67">_xlfn._xlws.FILTER(D:D, (A:A=$U67)*(B:B="Therapist")*(C:C="Relevance"))</f>
        <v>4</v>
      </c>
      <c r="AA67">
        <f t="shared" si="18"/>
        <v>8</v>
      </c>
      <c r="AB67">
        <f t="shared" si="19"/>
        <v>9</v>
      </c>
    </row>
    <row r="68" spans="1:28">
      <c r="A68">
        <v>23</v>
      </c>
      <c r="B68" t="str">
        <f t="shared" ref="B68:C68" si="68">B58</f>
        <v>Therapist</v>
      </c>
      <c r="C68" t="str">
        <f t="shared" si="68"/>
        <v>Writing Reflection</v>
      </c>
      <c r="D68">
        <v>5</v>
      </c>
      <c r="L68" s="2">
        <v>126</v>
      </c>
      <c r="M68" cm="1">
        <f t="array" ref="M68">_xlfn._xlws.FILTER(D:D, (A:A=$L68)*(B:B="AI")*(C:C="Distress Check"))</f>
        <v>2</v>
      </c>
      <c r="N68" cm="1">
        <f t="array" ref="N68">_xlfn._xlws.FILTER(D:D, (A:A=$L68)*(B:B="AI")*(C:C="Writing Reflection"))</f>
        <v>2</v>
      </c>
      <c r="O68" cm="1">
        <f t="array" ref="O68">_xlfn._xlws.FILTER(D:D, (A:A=$L68)*(B:B="AI")*(C:C="Avoids Processing"))</f>
        <v>1</v>
      </c>
      <c r="P68" cm="1">
        <f t="array" ref="P68">_xlfn._xlws.FILTER(D:D, (A:A=$L68)*(B:B="AI")*(C:C="Appropriateness"))</f>
        <v>2</v>
      </c>
      <c r="Q68" cm="1">
        <f t="array" ref="Q68">_xlfn._xlws.FILTER(D:D, (A:A=$L68)*(B:B="AI")*(C:C="Relevance"))</f>
        <v>2</v>
      </c>
      <c r="R68">
        <f t="shared" si="16"/>
        <v>4</v>
      </c>
      <c r="S68">
        <f t="shared" si="17"/>
        <v>4</v>
      </c>
      <c r="U68" s="2">
        <v>126</v>
      </c>
      <c r="V68" cm="1">
        <f t="array" ref="V68">_xlfn._xlws.FILTER(D:D, (A:A=$U68)*(B:B="Therapist")*(C:C="Distress Check"))</f>
        <v>3</v>
      </c>
      <c r="W68" cm="1">
        <f t="array" ref="W68">_xlfn._xlws.FILTER(D:D, (A:A=$U68)*(B:B="Therapist")*(C:C="Writing Reflection"))</f>
        <v>5</v>
      </c>
      <c r="X68" cm="1">
        <f t="array" ref="X68">_xlfn._xlws.FILTER(D:D, (A:A=$U68)*(B:B="Therapist")*(C:C="Avoids Processing"))</f>
        <v>3</v>
      </c>
      <c r="Y68" cm="1">
        <f t="array" ref="Y68">_xlfn._xlws.FILTER(D:D, (A:A=$U68)*(B:B="Therapist")*(C:C="Appropriateness"))</f>
        <v>5</v>
      </c>
      <c r="Z68" cm="1">
        <f t="array" ref="Z68">_xlfn._xlws.FILTER(D:D, (A:A=$U68)*(B:B="Therapist")*(C:C="Relevance"))</f>
        <v>2</v>
      </c>
      <c r="AA68">
        <f t="shared" si="18"/>
        <v>8</v>
      </c>
      <c r="AB68">
        <f t="shared" si="19"/>
        <v>7</v>
      </c>
    </row>
    <row r="69" spans="1:28">
      <c r="A69">
        <v>23</v>
      </c>
      <c r="B69" t="str">
        <f t="shared" ref="B69:C69" si="69">B59</f>
        <v>Therapist</v>
      </c>
      <c r="C69" t="str">
        <f t="shared" si="69"/>
        <v>Avoids Processing</v>
      </c>
      <c r="D69">
        <v>3</v>
      </c>
      <c r="E69" t="s">
        <v>22</v>
      </c>
      <c r="L69" s="2">
        <v>129</v>
      </c>
      <c r="M69" cm="1">
        <f t="array" ref="M69">_xlfn._xlws.FILTER(D:D, (A:A=$L69)*(B:B="AI")*(C:C="Distress Check"))</f>
        <v>3</v>
      </c>
      <c r="N69" cm="1">
        <f t="array" ref="N69">_xlfn._xlws.FILTER(D:D, (A:A=$L69)*(B:B="AI")*(C:C="Writing Reflection"))</f>
        <v>2</v>
      </c>
      <c r="O69" cm="1">
        <f t="array" ref="O69">_xlfn._xlws.FILTER(D:D, (A:A=$L69)*(B:B="AI")*(C:C="Avoids Processing"))</f>
        <v>1</v>
      </c>
      <c r="P69" cm="1">
        <f t="array" ref="P69">_xlfn._xlws.FILTER(D:D, (A:A=$L69)*(B:B="AI")*(C:C="Appropriateness"))</f>
        <v>2</v>
      </c>
      <c r="Q69" cm="1">
        <f t="array" ref="Q69">_xlfn._xlws.FILTER(D:D, (A:A=$L69)*(B:B="AI")*(C:C="Relevance"))</f>
        <v>2</v>
      </c>
      <c r="R69">
        <f t="shared" si="16"/>
        <v>5</v>
      </c>
      <c r="S69">
        <f t="shared" si="17"/>
        <v>4</v>
      </c>
      <c r="U69" s="2">
        <v>129</v>
      </c>
      <c r="V69" cm="1">
        <f t="array" ref="V69">_xlfn._xlws.FILTER(D:D, (A:A=$U69)*(B:B="Therapist")*(C:C="Distress Check"))</f>
        <v>3</v>
      </c>
      <c r="W69" cm="1">
        <f t="array" ref="W69">_xlfn._xlws.FILTER(D:D, (A:A=$U69)*(B:B="Therapist")*(C:C="Writing Reflection"))</f>
        <v>3</v>
      </c>
      <c r="X69" cm="1">
        <f t="array" ref="X69">_xlfn._xlws.FILTER(D:D, (A:A=$U69)*(B:B="Therapist")*(C:C="Avoids Processing"))</f>
        <v>3</v>
      </c>
      <c r="Y69" cm="1">
        <f t="array" ref="Y69">_xlfn._xlws.FILTER(D:D, (A:A=$U69)*(B:B="Therapist")*(C:C="Appropriateness"))</f>
        <v>3</v>
      </c>
      <c r="Z69" cm="1">
        <f t="array" ref="Z69">_xlfn._xlws.FILTER(D:D, (A:A=$U69)*(B:B="Therapist")*(C:C="Relevance"))</f>
        <v>3</v>
      </c>
      <c r="AA69">
        <f t="shared" si="18"/>
        <v>6</v>
      </c>
      <c r="AB69">
        <f t="shared" si="19"/>
        <v>6</v>
      </c>
    </row>
    <row r="70" spans="1:28">
      <c r="A70">
        <v>23</v>
      </c>
      <c r="B70" t="str">
        <f t="shared" ref="B70:C70" si="70">B60</f>
        <v>Therapist</v>
      </c>
      <c r="C70" t="str">
        <f t="shared" si="70"/>
        <v>Appropriateness</v>
      </c>
      <c r="D70">
        <v>5</v>
      </c>
      <c r="L70" s="2">
        <v>134</v>
      </c>
      <c r="M70" cm="1">
        <f t="array" ref="M70">_xlfn._xlws.FILTER(D:D, (A:A=$L70)*(B:B="AI")*(C:C="Distress Check"))</f>
        <v>1</v>
      </c>
      <c r="N70" cm="1">
        <f t="array" ref="N70">_xlfn._xlws.FILTER(D:D, (A:A=$L70)*(B:B="AI")*(C:C="Writing Reflection"))</f>
        <v>2</v>
      </c>
      <c r="O70" cm="1">
        <f t="array" ref="O70">_xlfn._xlws.FILTER(D:D, (A:A=$L70)*(B:B="AI")*(C:C="Avoids Processing"))</f>
        <v>1</v>
      </c>
      <c r="P70" cm="1">
        <f t="array" ref="P70">_xlfn._xlws.FILTER(D:D, (A:A=$L70)*(B:B="AI")*(C:C="Appropriateness"))</f>
        <v>2</v>
      </c>
      <c r="Q70" cm="1">
        <f t="array" ref="Q70">_xlfn._xlws.FILTER(D:D, (A:A=$L70)*(B:B="AI")*(C:C="Relevance"))</f>
        <v>2</v>
      </c>
      <c r="R70">
        <f t="shared" si="16"/>
        <v>3</v>
      </c>
      <c r="S70">
        <f t="shared" si="17"/>
        <v>4</v>
      </c>
      <c r="U70" s="2">
        <v>134</v>
      </c>
      <c r="V70" cm="1">
        <f t="array" ref="V70">_xlfn._xlws.FILTER(D:D, (A:A=$U70)*(B:B="Therapist")*(C:C="Distress Check"))</f>
        <v>2</v>
      </c>
      <c r="W70" cm="1">
        <f t="array" ref="W70">_xlfn._xlws.FILTER(D:D, (A:A=$U70)*(B:B="Therapist")*(C:C="Writing Reflection"))</f>
        <v>3</v>
      </c>
      <c r="X70" cm="1">
        <f t="array" ref="X70">_xlfn._xlws.FILTER(D:D, (A:A=$U70)*(B:B="Therapist")*(C:C="Avoids Processing"))</f>
        <v>3</v>
      </c>
      <c r="Y70" cm="1">
        <f t="array" ref="Y70">_xlfn._xlws.FILTER(D:D, (A:A=$U70)*(B:B="Therapist")*(C:C="Appropriateness"))</f>
        <v>4</v>
      </c>
      <c r="Z70" cm="1">
        <f t="array" ref="Z70">_xlfn._xlws.FILTER(D:D, (A:A=$U70)*(B:B="Therapist")*(C:C="Relevance"))</f>
        <v>3</v>
      </c>
      <c r="AA70">
        <f t="shared" si="18"/>
        <v>5</v>
      </c>
      <c r="AB70">
        <f t="shared" si="19"/>
        <v>7</v>
      </c>
    </row>
    <row r="71" spans="1:28">
      <c r="A71">
        <v>23</v>
      </c>
      <c r="B71" t="str">
        <f t="shared" ref="B71:C71" si="71">B61</f>
        <v>Therapist</v>
      </c>
      <c r="C71" t="str">
        <f t="shared" si="71"/>
        <v>Relevance</v>
      </c>
      <c r="D71">
        <v>5</v>
      </c>
      <c r="L71" s="2">
        <v>139</v>
      </c>
      <c r="M71" cm="1">
        <f t="array" ref="M71">_xlfn._xlws.FILTER(D:D, (A:A=$L71)*(B:B="AI")*(C:C="Distress Check"))</f>
        <v>1</v>
      </c>
      <c r="N71" cm="1">
        <f t="array" ref="N71">_xlfn._xlws.FILTER(D:D, (A:A=$L71)*(B:B="AI")*(C:C="Writing Reflection"))</f>
        <v>2</v>
      </c>
      <c r="O71" cm="1">
        <f t="array" ref="O71">_xlfn._xlws.FILTER(D:D, (A:A=$L71)*(B:B="AI")*(C:C="Avoids Processing"))</f>
        <v>1</v>
      </c>
      <c r="P71" cm="1">
        <f t="array" ref="P71">_xlfn._xlws.FILTER(D:D, (A:A=$L71)*(B:B="AI")*(C:C="Appropriateness"))</f>
        <v>1</v>
      </c>
      <c r="Q71" cm="1">
        <f t="array" ref="Q71">_xlfn._xlws.FILTER(D:D, (A:A=$L71)*(B:B="AI")*(C:C="Relevance"))</f>
        <v>2</v>
      </c>
      <c r="R71">
        <f t="shared" si="16"/>
        <v>3</v>
      </c>
      <c r="S71">
        <f t="shared" si="17"/>
        <v>3</v>
      </c>
      <c r="U71" s="2">
        <v>139</v>
      </c>
      <c r="V71" cm="1">
        <f t="array" ref="V71">_xlfn._xlws.FILTER(D:D, (A:A=$U71)*(B:B="Therapist")*(C:C="Distress Check"))</f>
        <v>4</v>
      </c>
      <c r="W71" cm="1">
        <f t="array" ref="W71">_xlfn._xlws.FILTER(D:D, (A:A=$U71)*(B:B="Therapist")*(C:C="Writing Reflection"))</f>
        <v>2</v>
      </c>
      <c r="X71" cm="1">
        <f t="array" ref="X71">_xlfn._xlws.FILTER(D:D, (A:A=$U71)*(B:B="Therapist")*(C:C="Avoids Processing"))</f>
        <v>3</v>
      </c>
      <c r="Y71" cm="1">
        <f t="array" ref="Y71">_xlfn._xlws.FILTER(D:D, (A:A=$U71)*(B:B="Therapist")*(C:C="Appropriateness"))</f>
        <v>4</v>
      </c>
      <c r="Z71" cm="1">
        <f t="array" ref="Z71">_xlfn._xlws.FILTER(D:D, (A:A=$U71)*(B:B="Therapist")*(C:C="Relevance"))</f>
        <v>3</v>
      </c>
      <c r="AA71">
        <f t="shared" si="18"/>
        <v>6</v>
      </c>
      <c r="AB71">
        <f t="shared" si="19"/>
        <v>7</v>
      </c>
    </row>
    <row r="72" spans="1:28">
      <c r="A72">
        <v>25</v>
      </c>
      <c r="B72" t="str">
        <f t="shared" ref="B72:C72" si="72">B62</f>
        <v>AI</v>
      </c>
      <c r="C72" t="str">
        <f t="shared" si="72"/>
        <v>Distress Check</v>
      </c>
      <c r="D72">
        <v>2</v>
      </c>
      <c r="L72" s="2">
        <v>144</v>
      </c>
      <c r="M72" cm="1">
        <f t="array" ref="M72">_xlfn._xlws.FILTER(D:D, (A:A=$L72)*(B:B="AI")*(C:C="Distress Check"))</f>
        <v>2</v>
      </c>
      <c r="N72" cm="1">
        <f t="array" ref="N72">_xlfn._xlws.FILTER(D:D, (A:A=$L72)*(B:B="AI")*(C:C="Writing Reflection"))</f>
        <v>2</v>
      </c>
      <c r="O72" cm="1">
        <f t="array" ref="O72">_xlfn._xlws.FILTER(D:D, (A:A=$L72)*(B:B="AI")*(C:C="Avoids Processing"))</f>
        <v>1</v>
      </c>
      <c r="P72" cm="1">
        <f t="array" ref="P72">_xlfn._xlws.FILTER(D:D, (A:A=$L72)*(B:B="AI")*(C:C="Appropriateness"))</f>
        <v>2</v>
      </c>
      <c r="Q72" cm="1">
        <f t="array" ref="Q72">_xlfn._xlws.FILTER(D:D, (A:A=$L72)*(B:B="AI")*(C:C="Relevance"))</f>
        <v>2</v>
      </c>
      <c r="R72">
        <f t="shared" si="16"/>
        <v>4</v>
      </c>
      <c r="S72">
        <f t="shared" si="17"/>
        <v>4</v>
      </c>
      <c r="U72" s="2">
        <v>144</v>
      </c>
      <c r="V72" cm="1">
        <f t="array" ref="V72">_xlfn._xlws.FILTER(D:D, (A:A=$U72)*(B:B="Therapist")*(C:C="Distress Check"))</f>
        <v>2</v>
      </c>
      <c r="W72" cm="1">
        <f t="array" ref="W72">_xlfn._xlws.FILTER(D:D, (A:A=$U72)*(B:B="Therapist")*(C:C="Writing Reflection"))</f>
        <v>4</v>
      </c>
      <c r="X72" cm="1">
        <f t="array" ref="X72">_xlfn._xlws.FILTER(D:D, (A:A=$U72)*(B:B="Therapist")*(C:C="Avoids Processing"))</f>
        <v>3</v>
      </c>
      <c r="Y72" cm="1">
        <f t="array" ref="Y72">_xlfn._xlws.FILTER(D:D, (A:A=$U72)*(B:B="Therapist")*(C:C="Appropriateness"))</f>
        <v>5</v>
      </c>
      <c r="Z72" cm="1">
        <f t="array" ref="Z72">_xlfn._xlws.FILTER(D:D, (A:A=$U72)*(B:B="Therapist")*(C:C="Relevance"))</f>
        <v>4</v>
      </c>
      <c r="AA72">
        <f t="shared" si="18"/>
        <v>6</v>
      </c>
      <c r="AB72">
        <f t="shared" si="19"/>
        <v>9</v>
      </c>
    </row>
    <row r="73" spans="1:28">
      <c r="A73">
        <v>25</v>
      </c>
      <c r="B73" t="str">
        <f t="shared" ref="B73:C73" si="73">B63</f>
        <v>AI</v>
      </c>
      <c r="C73" t="str">
        <f t="shared" si="73"/>
        <v>Writing Reflection</v>
      </c>
      <c r="D73">
        <v>3</v>
      </c>
    </row>
    <row r="74" spans="1:28">
      <c r="A74">
        <v>25</v>
      </c>
      <c r="B74" t="str">
        <f t="shared" ref="B74:C74" si="74">B64</f>
        <v>AI</v>
      </c>
      <c r="C74" t="str">
        <f t="shared" si="74"/>
        <v>Avoids Processing</v>
      </c>
      <c r="D74">
        <v>1</v>
      </c>
    </row>
    <row r="75" spans="1:28">
      <c r="A75">
        <v>25</v>
      </c>
      <c r="B75" t="str">
        <f t="shared" ref="B75:C75" si="75">B65</f>
        <v>AI</v>
      </c>
      <c r="C75" t="str">
        <f t="shared" si="75"/>
        <v>Appropriateness</v>
      </c>
      <c r="D75">
        <v>3</v>
      </c>
    </row>
    <row r="76" spans="1:28">
      <c r="A76">
        <v>25</v>
      </c>
      <c r="B76" t="str">
        <f t="shared" ref="B76:C76" si="76">B66</f>
        <v>AI</v>
      </c>
      <c r="C76" t="str">
        <f t="shared" si="76"/>
        <v>Relevance</v>
      </c>
      <c r="D76">
        <v>4</v>
      </c>
    </row>
    <row r="77" spans="1:28">
      <c r="A77">
        <v>25</v>
      </c>
      <c r="B77" t="str">
        <f t="shared" ref="B77:C77" si="77">B67</f>
        <v>Therapist</v>
      </c>
      <c r="C77" t="str">
        <f t="shared" si="77"/>
        <v>Distress Check</v>
      </c>
      <c r="D77">
        <v>5</v>
      </c>
    </row>
    <row r="78" spans="1:28">
      <c r="A78">
        <v>25</v>
      </c>
      <c r="B78" t="str">
        <f t="shared" ref="B78:C78" si="78">B68</f>
        <v>Therapist</v>
      </c>
      <c r="C78" t="str">
        <f t="shared" si="78"/>
        <v>Writing Reflection</v>
      </c>
      <c r="D78">
        <v>4</v>
      </c>
      <c r="E78" t="s">
        <v>25</v>
      </c>
    </row>
    <row r="79" spans="1:28">
      <c r="A79">
        <v>25</v>
      </c>
      <c r="B79" t="str">
        <f t="shared" ref="B79:C79" si="79">B69</f>
        <v>Therapist</v>
      </c>
      <c r="C79" t="str">
        <f t="shared" si="79"/>
        <v>Avoids Processing</v>
      </c>
      <c r="D79">
        <v>5</v>
      </c>
    </row>
    <row r="80" spans="1:28">
      <c r="A80">
        <v>25</v>
      </c>
      <c r="B80" t="str">
        <f t="shared" ref="B80:C80" si="80">B70</f>
        <v>Therapist</v>
      </c>
      <c r="C80" t="str">
        <f t="shared" si="80"/>
        <v>Appropriateness</v>
      </c>
      <c r="D80">
        <v>4</v>
      </c>
      <c r="E80" t="s">
        <v>26</v>
      </c>
    </row>
    <row r="81" spans="1:5">
      <c r="A81">
        <v>25</v>
      </c>
      <c r="B81" t="str">
        <f t="shared" ref="B81:C81" si="81">B71</f>
        <v>Therapist</v>
      </c>
      <c r="C81" t="str">
        <f t="shared" si="81"/>
        <v>Relevance</v>
      </c>
      <c r="D81">
        <v>5</v>
      </c>
      <c r="E81" t="s">
        <v>24</v>
      </c>
    </row>
    <row r="82" spans="1:5">
      <c r="A82">
        <v>28</v>
      </c>
      <c r="B82" t="str">
        <f t="shared" ref="B82:C82" si="82">B72</f>
        <v>AI</v>
      </c>
      <c r="C82" t="str">
        <f t="shared" si="82"/>
        <v>Distress Check</v>
      </c>
      <c r="D82">
        <v>2</v>
      </c>
    </row>
    <row r="83" spans="1:5">
      <c r="A83">
        <v>28</v>
      </c>
      <c r="B83" t="str">
        <f t="shared" ref="B83:C83" si="83">B73</f>
        <v>AI</v>
      </c>
      <c r="C83" t="str">
        <f t="shared" si="83"/>
        <v>Writing Reflection</v>
      </c>
      <c r="D83">
        <v>3</v>
      </c>
    </row>
    <row r="84" spans="1:5">
      <c r="A84">
        <v>28</v>
      </c>
      <c r="B84" t="str">
        <f t="shared" ref="B84:C84" si="84">B74</f>
        <v>AI</v>
      </c>
      <c r="C84" t="str">
        <f t="shared" si="84"/>
        <v>Avoids Processing</v>
      </c>
      <c r="D84">
        <v>1</v>
      </c>
    </row>
    <row r="85" spans="1:5">
      <c r="A85">
        <v>28</v>
      </c>
      <c r="B85" t="str">
        <f t="shared" ref="B85:C85" si="85">B75</f>
        <v>AI</v>
      </c>
      <c r="C85" t="str">
        <f t="shared" si="85"/>
        <v>Appropriateness</v>
      </c>
      <c r="D85">
        <v>4</v>
      </c>
    </row>
    <row r="86" spans="1:5">
      <c r="A86">
        <v>28</v>
      </c>
      <c r="B86" t="str">
        <f t="shared" ref="B86:C86" si="86">B76</f>
        <v>AI</v>
      </c>
      <c r="C86" t="str">
        <f t="shared" si="86"/>
        <v>Relevance</v>
      </c>
      <c r="D86">
        <v>5</v>
      </c>
    </row>
    <row r="87" spans="1:5">
      <c r="A87">
        <v>28</v>
      </c>
      <c r="B87" t="str">
        <f t="shared" ref="B87:C87" si="87">B77</f>
        <v>Therapist</v>
      </c>
      <c r="C87" t="str">
        <f t="shared" si="87"/>
        <v>Distress Check</v>
      </c>
      <c r="D87">
        <v>5</v>
      </c>
    </row>
    <row r="88" spans="1:5">
      <c r="A88">
        <v>28</v>
      </c>
      <c r="B88" t="str">
        <f t="shared" ref="B88:C88" si="88">B78</f>
        <v>Therapist</v>
      </c>
      <c r="C88" t="str">
        <f t="shared" si="88"/>
        <v>Writing Reflection</v>
      </c>
      <c r="D88">
        <v>4</v>
      </c>
    </row>
    <row r="89" spans="1:5">
      <c r="A89">
        <v>28</v>
      </c>
      <c r="B89" t="str">
        <f t="shared" ref="B89:C89" si="89">B79</f>
        <v>Therapist</v>
      </c>
      <c r="C89" t="str">
        <f t="shared" si="89"/>
        <v>Avoids Processing</v>
      </c>
      <c r="D89">
        <v>3</v>
      </c>
    </row>
    <row r="90" spans="1:5">
      <c r="A90">
        <v>28</v>
      </c>
      <c r="B90" t="str">
        <f t="shared" ref="B90:C90" si="90">B80</f>
        <v>Therapist</v>
      </c>
      <c r="C90" t="str">
        <f t="shared" si="90"/>
        <v>Appropriateness</v>
      </c>
      <c r="D90">
        <v>5</v>
      </c>
    </row>
    <row r="91" spans="1:5">
      <c r="A91">
        <v>28</v>
      </c>
      <c r="B91" t="str">
        <f t="shared" ref="B91:C91" si="91">B81</f>
        <v>Therapist</v>
      </c>
      <c r="C91" t="str">
        <f t="shared" si="91"/>
        <v>Relevance</v>
      </c>
      <c r="D91">
        <v>5</v>
      </c>
    </row>
    <row r="92" spans="1:5">
      <c r="A92">
        <v>31</v>
      </c>
      <c r="B92" t="str">
        <f t="shared" ref="B92:C92" si="92">B82</f>
        <v>AI</v>
      </c>
      <c r="C92" t="str">
        <f t="shared" si="92"/>
        <v>Distress Check</v>
      </c>
      <c r="D92">
        <v>2</v>
      </c>
    </row>
    <row r="93" spans="1:5">
      <c r="A93">
        <v>31</v>
      </c>
      <c r="B93" t="str">
        <f t="shared" ref="B93:C93" si="93">B83</f>
        <v>AI</v>
      </c>
      <c r="C93" t="str">
        <f t="shared" si="93"/>
        <v>Writing Reflection</v>
      </c>
      <c r="D93">
        <v>2</v>
      </c>
    </row>
    <row r="94" spans="1:5">
      <c r="A94">
        <v>31</v>
      </c>
      <c r="B94" t="str">
        <f t="shared" ref="B94:C94" si="94">B84</f>
        <v>AI</v>
      </c>
      <c r="C94" t="str">
        <f t="shared" si="94"/>
        <v>Avoids Processing</v>
      </c>
      <c r="D94">
        <v>1</v>
      </c>
    </row>
    <row r="95" spans="1:5">
      <c r="A95">
        <v>31</v>
      </c>
      <c r="B95" t="str">
        <f t="shared" ref="B95:C95" si="95">B85</f>
        <v>AI</v>
      </c>
      <c r="C95" t="str">
        <f t="shared" si="95"/>
        <v>Appropriateness</v>
      </c>
      <c r="D95">
        <v>2</v>
      </c>
      <c r="E95" t="s">
        <v>27</v>
      </c>
    </row>
    <row r="96" spans="1:5">
      <c r="A96">
        <v>31</v>
      </c>
      <c r="B96" t="str">
        <f t="shared" ref="B96:C96" si="96">B86</f>
        <v>AI</v>
      </c>
      <c r="C96" t="str">
        <f t="shared" si="96"/>
        <v>Relevance</v>
      </c>
      <c r="D96">
        <v>5</v>
      </c>
    </row>
    <row r="97" spans="1:5">
      <c r="A97">
        <v>31</v>
      </c>
      <c r="B97" t="str">
        <f t="shared" ref="B97:C97" si="97">B87</f>
        <v>Therapist</v>
      </c>
      <c r="C97" t="str">
        <f t="shared" si="97"/>
        <v>Distress Check</v>
      </c>
      <c r="D97">
        <v>5</v>
      </c>
    </row>
    <row r="98" spans="1:5">
      <c r="A98">
        <v>31</v>
      </c>
      <c r="B98" t="str">
        <f t="shared" ref="B98:C98" si="98">B88</f>
        <v>Therapist</v>
      </c>
      <c r="C98" t="str">
        <f t="shared" si="98"/>
        <v>Writing Reflection</v>
      </c>
      <c r="D98">
        <v>4</v>
      </c>
    </row>
    <row r="99" spans="1:5">
      <c r="A99">
        <v>31</v>
      </c>
      <c r="B99" t="str">
        <f t="shared" ref="B99:C99" si="99">B89</f>
        <v>Therapist</v>
      </c>
      <c r="C99" t="str">
        <f t="shared" si="99"/>
        <v>Avoids Processing</v>
      </c>
      <c r="D99">
        <v>5</v>
      </c>
    </row>
    <row r="100" spans="1:5">
      <c r="A100">
        <v>31</v>
      </c>
      <c r="B100" t="str">
        <f t="shared" ref="B100:C100" si="100">B90</f>
        <v>Therapist</v>
      </c>
      <c r="C100" t="str">
        <f t="shared" si="100"/>
        <v>Appropriateness</v>
      </c>
      <c r="D100">
        <v>5</v>
      </c>
    </row>
    <row r="101" spans="1:5">
      <c r="A101">
        <v>31</v>
      </c>
      <c r="B101" t="str">
        <f t="shared" ref="B101:C101" si="101">B91</f>
        <v>Therapist</v>
      </c>
      <c r="C101" t="str">
        <f t="shared" si="101"/>
        <v>Relevance</v>
      </c>
      <c r="D101">
        <v>2</v>
      </c>
      <c r="E101" t="s">
        <v>28</v>
      </c>
    </row>
    <row r="102" spans="1:5">
      <c r="A102">
        <v>32</v>
      </c>
      <c r="B102" t="str">
        <f t="shared" ref="B102:C102" si="102">B92</f>
        <v>AI</v>
      </c>
      <c r="C102" t="str">
        <f t="shared" si="102"/>
        <v>Distress Check</v>
      </c>
      <c r="D102">
        <v>3</v>
      </c>
    </row>
    <row r="103" spans="1:5">
      <c r="A103">
        <v>32</v>
      </c>
      <c r="B103" t="str">
        <f t="shared" ref="B103:C103" si="103">B93</f>
        <v>AI</v>
      </c>
      <c r="C103" t="str">
        <f t="shared" si="103"/>
        <v>Writing Reflection</v>
      </c>
      <c r="D103">
        <v>2</v>
      </c>
    </row>
    <row r="104" spans="1:5">
      <c r="A104">
        <v>32</v>
      </c>
      <c r="B104" t="str">
        <f t="shared" ref="B104:C104" si="104">B94</f>
        <v>AI</v>
      </c>
      <c r="C104" t="str">
        <f t="shared" si="104"/>
        <v>Avoids Processing</v>
      </c>
      <c r="D104">
        <v>1</v>
      </c>
    </row>
    <row r="105" spans="1:5">
      <c r="A105">
        <v>32</v>
      </c>
      <c r="B105" t="str">
        <f t="shared" ref="B105:C105" si="105">B95</f>
        <v>AI</v>
      </c>
      <c r="C105" t="str">
        <f t="shared" si="105"/>
        <v>Appropriateness</v>
      </c>
      <c r="D105">
        <v>2</v>
      </c>
    </row>
    <row r="106" spans="1:5">
      <c r="A106">
        <v>32</v>
      </c>
      <c r="B106" t="str">
        <f t="shared" ref="B106:C106" si="106">B96</f>
        <v>AI</v>
      </c>
      <c r="C106" t="str">
        <f t="shared" si="106"/>
        <v>Relevance</v>
      </c>
      <c r="D106">
        <v>2</v>
      </c>
    </row>
    <row r="107" spans="1:5">
      <c r="A107">
        <v>32</v>
      </c>
      <c r="B107" t="str">
        <f t="shared" ref="B107:C107" si="107">B97</f>
        <v>Therapist</v>
      </c>
      <c r="C107" t="str">
        <f t="shared" si="107"/>
        <v>Distress Check</v>
      </c>
      <c r="D107">
        <v>5</v>
      </c>
    </row>
    <row r="108" spans="1:5">
      <c r="A108">
        <v>32</v>
      </c>
      <c r="B108" t="str">
        <f t="shared" ref="B108:C108" si="108">B98</f>
        <v>Therapist</v>
      </c>
      <c r="C108" t="str">
        <f t="shared" si="108"/>
        <v>Writing Reflection</v>
      </c>
      <c r="D108">
        <v>5</v>
      </c>
      <c r="E108" t="s">
        <v>29</v>
      </c>
    </row>
    <row r="109" spans="1:5">
      <c r="A109">
        <v>32</v>
      </c>
      <c r="B109" t="str">
        <f t="shared" ref="B109:C109" si="109">B99</f>
        <v>Therapist</v>
      </c>
      <c r="C109" t="str">
        <f t="shared" si="109"/>
        <v>Avoids Processing</v>
      </c>
      <c r="D109">
        <v>4</v>
      </c>
      <c r="E109" t="s">
        <v>30</v>
      </c>
    </row>
    <row r="110" spans="1:5">
      <c r="A110">
        <v>32</v>
      </c>
      <c r="B110" t="str">
        <f t="shared" ref="B110:C110" si="110">B100</f>
        <v>Therapist</v>
      </c>
      <c r="C110" t="str">
        <f t="shared" si="110"/>
        <v>Appropriateness</v>
      </c>
      <c r="D110">
        <v>5</v>
      </c>
    </row>
    <row r="111" spans="1:5">
      <c r="A111">
        <v>32</v>
      </c>
      <c r="B111" t="str">
        <f t="shared" ref="B111:C111" si="111">B101</f>
        <v>Therapist</v>
      </c>
      <c r="C111" t="str">
        <f t="shared" si="111"/>
        <v>Relevance</v>
      </c>
      <c r="D111">
        <v>5</v>
      </c>
    </row>
    <row r="112" spans="1:5">
      <c r="A112">
        <v>33</v>
      </c>
      <c r="B112" t="str">
        <f t="shared" ref="B112:C112" si="112">B102</f>
        <v>AI</v>
      </c>
      <c r="C112" t="str">
        <f t="shared" si="112"/>
        <v>Distress Check</v>
      </c>
      <c r="D112">
        <v>2</v>
      </c>
    </row>
    <row r="113" spans="1:5">
      <c r="A113">
        <v>33</v>
      </c>
      <c r="B113" t="str">
        <f t="shared" ref="B113:C113" si="113">B103</f>
        <v>AI</v>
      </c>
      <c r="C113" t="str">
        <f t="shared" si="113"/>
        <v>Writing Reflection</v>
      </c>
      <c r="D113">
        <v>2</v>
      </c>
    </row>
    <row r="114" spans="1:5">
      <c r="A114">
        <v>33</v>
      </c>
      <c r="B114" t="str">
        <f t="shared" ref="B114:C114" si="114">B104</f>
        <v>AI</v>
      </c>
      <c r="C114" t="str">
        <f t="shared" si="114"/>
        <v>Avoids Processing</v>
      </c>
      <c r="D114">
        <v>1</v>
      </c>
    </row>
    <row r="115" spans="1:5">
      <c r="A115">
        <v>33</v>
      </c>
      <c r="B115" t="str">
        <f t="shared" ref="B115:C115" si="115">B105</f>
        <v>AI</v>
      </c>
      <c r="C115" t="str">
        <f t="shared" si="115"/>
        <v>Appropriateness</v>
      </c>
      <c r="D115">
        <v>4</v>
      </c>
    </row>
    <row r="116" spans="1:5">
      <c r="A116">
        <v>33</v>
      </c>
      <c r="B116" t="str">
        <f t="shared" ref="B116:C116" si="116">B106</f>
        <v>AI</v>
      </c>
      <c r="C116" t="str">
        <f t="shared" si="116"/>
        <v>Relevance</v>
      </c>
      <c r="D116">
        <v>3</v>
      </c>
    </row>
    <row r="117" spans="1:5">
      <c r="A117">
        <v>33</v>
      </c>
      <c r="B117" t="str">
        <f t="shared" ref="B117:C117" si="117">B107</f>
        <v>Therapist</v>
      </c>
      <c r="C117" t="str">
        <f t="shared" si="117"/>
        <v>Distress Check</v>
      </c>
      <c r="D117">
        <v>4</v>
      </c>
    </row>
    <row r="118" spans="1:5">
      <c r="A118">
        <v>33</v>
      </c>
      <c r="B118" t="str">
        <f t="shared" ref="B118:C118" si="118">B108</f>
        <v>Therapist</v>
      </c>
      <c r="C118" t="str">
        <f t="shared" si="118"/>
        <v>Writing Reflection</v>
      </c>
      <c r="D118">
        <v>2</v>
      </c>
    </row>
    <row r="119" spans="1:5">
      <c r="A119">
        <v>33</v>
      </c>
      <c r="B119" t="str">
        <f t="shared" ref="B119:C119" si="119">B109</f>
        <v>Therapist</v>
      </c>
      <c r="C119" t="str">
        <f t="shared" si="119"/>
        <v>Avoids Processing</v>
      </c>
      <c r="D119">
        <v>5</v>
      </c>
    </row>
    <row r="120" spans="1:5">
      <c r="A120">
        <v>33</v>
      </c>
      <c r="B120" t="str">
        <f t="shared" ref="B120:C120" si="120">B110</f>
        <v>Therapist</v>
      </c>
      <c r="C120" t="str">
        <f t="shared" si="120"/>
        <v>Appropriateness</v>
      </c>
      <c r="D120">
        <v>5</v>
      </c>
    </row>
    <row r="121" spans="1:5">
      <c r="A121">
        <v>33</v>
      </c>
      <c r="B121" t="str">
        <f t="shared" ref="B121:C121" si="121">B111</f>
        <v>Therapist</v>
      </c>
      <c r="C121" t="str">
        <f t="shared" si="121"/>
        <v>Relevance</v>
      </c>
      <c r="D121">
        <v>3</v>
      </c>
      <c r="E121" t="s">
        <v>37</v>
      </c>
    </row>
    <row r="122" spans="1:5">
      <c r="A122">
        <v>34</v>
      </c>
      <c r="B122" t="str">
        <f t="shared" ref="B122:C122" si="122">B112</f>
        <v>AI</v>
      </c>
      <c r="C122" t="str">
        <f t="shared" si="122"/>
        <v>Distress Check</v>
      </c>
      <c r="D122">
        <v>2</v>
      </c>
    </row>
    <row r="123" spans="1:5">
      <c r="A123">
        <v>34</v>
      </c>
      <c r="B123" t="str">
        <f t="shared" ref="B123:C123" si="123">B113</f>
        <v>AI</v>
      </c>
      <c r="C123" t="str">
        <f t="shared" si="123"/>
        <v>Writing Reflection</v>
      </c>
      <c r="D123">
        <v>3</v>
      </c>
      <c r="E123" t="s">
        <v>38</v>
      </c>
    </row>
    <row r="124" spans="1:5">
      <c r="A124">
        <v>34</v>
      </c>
      <c r="B124" t="str">
        <f t="shared" ref="B124:C124" si="124">B114</f>
        <v>AI</v>
      </c>
      <c r="C124" t="str">
        <f t="shared" si="124"/>
        <v>Avoids Processing</v>
      </c>
      <c r="D124">
        <v>1</v>
      </c>
    </row>
    <row r="125" spans="1:5">
      <c r="A125">
        <v>34</v>
      </c>
      <c r="B125" t="str">
        <f t="shared" ref="B125:C125" si="125">B115</f>
        <v>AI</v>
      </c>
      <c r="C125" t="str">
        <f t="shared" si="125"/>
        <v>Appropriateness</v>
      </c>
      <c r="D125">
        <v>2</v>
      </c>
      <c r="E125" t="s">
        <v>21</v>
      </c>
    </row>
    <row r="126" spans="1:5">
      <c r="A126">
        <v>34</v>
      </c>
      <c r="B126" t="str">
        <f t="shared" ref="B126:C126" si="126">B116</f>
        <v>AI</v>
      </c>
      <c r="C126" t="str">
        <f t="shared" si="126"/>
        <v>Relevance</v>
      </c>
      <c r="D126">
        <v>2</v>
      </c>
    </row>
    <row r="127" spans="1:5">
      <c r="A127">
        <v>34</v>
      </c>
      <c r="B127" t="str">
        <f t="shared" ref="B127:C127" si="127">B117</f>
        <v>Therapist</v>
      </c>
      <c r="C127" t="str">
        <f t="shared" si="127"/>
        <v>Distress Check</v>
      </c>
      <c r="D127">
        <v>4</v>
      </c>
    </row>
    <row r="128" spans="1:5">
      <c r="A128">
        <v>34</v>
      </c>
      <c r="B128" t="str">
        <f t="shared" ref="B128:C128" si="128">B118</f>
        <v>Therapist</v>
      </c>
      <c r="C128" t="str">
        <f t="shared" si="128"/>
        <v>Writing Reflection</v>
      </c>
      <c r="D128">
        <v>4</v>
      </c>
      <c r="E128" t="s">
        <v>39</v>
      </c>
    </row>
    <row r="129" spans="1:5">
      <c r="A129">
        <v>34</v>
      </c>
      <c r="B129" t="str">
        <f t="shared" ref="B129:C129" si="129">B119</f>
        <v>Therapist</v>
      </c>
      <c r="C129" t="str">
        <f t="shared" si="129"/>
        <v>Avoids Processing</v>
      </c>
      <c r="D129">
        <v>5</v>
      </c>
    </row>
    <row r="130" spans="1:5">
      <c r="A130">
        <v>34</v>
      </c>
      <c r="B130" t="str">
        <f t="shared" ref="B130:C130" si="130">B120</f>
        <v>Therapist</v>
      </c>
      <c r="C130" t="str">
        <f t="shared" si="130"/>
        <v>Appropriateness</v>
      </c>
      <c r="D130">
        <v>5</v>
      </c>
    </row>
    <row r="131" spans="1:5">
      <c r="A131">
        <v>34</v>
      </c>
      <c r="B131" t="str">
        <f t="shared" ref="B131:C131" si="131">B121</f>
        <v>Therapist</v>
      </c>
      <c r="C131" t="str">
        <f t="shared" si="131"/>
        <v>Relevance</v>
      </c>
      <c r="D131">
        <v>2</v>
      </c>
      <c r="E131" t="s">
        <v>40</v>
      </c>
    </row>
    <row r="132" spans="1:5">
      <c r="A132">
        <v>36</v>
      </c>
      <c r="B132" t="str">
        <f t="shared" ref="B132:C132" si="132">B122</f>
        <v>AI</v>
      </c>
      <c r="C132" t="str">
        <f t="shared" si="132"/>
        <v>Distress Check</v>
      </c>
      <c r="D132">
        <v>2</v>
      </c>
    </row>
    <row r="133" spans="1:5">
      <c r="A133">
        <v>36</v>
      </c>
      <c r="B133" t="str">
        <f t="shared" ref="B133:C133" si="133">B123</f>
        <v>AI</v>
      </c>
      <c r="C133" t="str">
        <f t="shared" si="133"/>
        <v>Writing Reflection</v>
      </c>
      <c r="D133">
        <v>3</v>
      </c>
    </row>
    <row r="134" spans="1:5">
      <c r="A134">
        <v>36</v>
      </c>
      <c r="B134" t="str">
        <f t="shared" ref="B134:C134" si="134">B124</f>
        <v>AI</v>
      </c>
      <c r="C134" t="str">
        <f t="shared" si="134"/>
        <v>Avoids Processing</v>
      </c>
      <c r="D134">
        <v>1</v>
      </c>
    </row>
    <row r="135" spans="1:5">
      <c r="A135">
        <v>36</v>
      </c>
      <c r="B135" t="str">
        <f t="shared" ref="B135:C135" si="135">B125</f>
        <v>AI</v>
      </c>
      <c r="C135" t="str">
        <f t="shared" si="135"/>
        <v>Appropriateness</v>
      </c>
      <c r="D135">
        <v>2</v>
      </c>
    </row>
    <row r="136" spans="1:5">
      <c r="A136">
        <v>36</v>
      </c>
      <c r="B136" t="str">
        <f t="shared" ref="B136:C136" si="136">B126</f>
        <v>AI</v>
      </c>
      <c r="C136" t="str">
        <f t="shared" si="136"/>
        <v>Relevance</v>
      </c>
      <c r="D136">
        <v>2</v>
      </c>
    </row>
    <row r="137" spans="1:5">
      <c r="A137">
        <v>36</v>
      </c>
      <c r="B137" t="str">
        <f t="shared" ref="B137:C137" si="137">B127</f>
        <v>Therapist</v>
      </c>
      <c r="C137" t="str">
        <f t="shared" si="137"/>
        <v>Distress Check</v>
      </c>
      <c r="D137">
        <v>5</v>
      </c>
    </row>
    <row r="138" spans="1:5">
      <c r="A138">
        <v>36</v>
      </c>
      <c r="B138" t="str">
        <f t="shared" ref="B138:C138" si="138">B128</f>
        <v>Therapist</v>
      </c>
      <c r="C138" t="str">
        <f t="shared" si="138"/>
        <v>Writing Reflection</v>
      </c>
      <c r="D138">
        <v>4</v>
      </c>
    </row>
    <row r="139" spans="1:5">
      <c r="A139">
        <v>36</v>
      </c>
      <c r="B139" t="str">
        <f t="shared" ref="B139:C139" si="139">B129</f>
        <v>Therapist</v>
      </c>
      <c r="C139" t="str">
        <f t="shared" si="139"/>
        <v>Avoids Processing</v>
      </c>
      <c r="D139">
        <v>3</v>
      </c>
      <c r="E139" t="s">
        <v>41</v>
      </c>
    </row>
    <row r="140" spans="1:5">
      <c r="A140">
        <v>36</v>
      </c>
      <c r="B140" t="str">
        <f t="shared" ref="B140:C140" si="140">B130</f>
        <v>Therapist</v>
      </c>
      <c r="C140" t="str">
        <f t="shared" si="140"/>
        <v>Appropriateness</v>
      </c>
      <c r="D140">
        <v>5</v>
      </c>
    </row>
    <row r="141" spans="1:5">
      <c r="A141">
        <v>36</v>
      </c>
      <c r="B141" t="str">
        <f t="shared" ref="B141:C141" si="141">B131</f>
        <v>Therapist</v>
      </c>
      <c r="C141" t="str">
        <f t="shared" si="141"/>
        <v>Relevance</v>
      </c>
      <c r="D141">
        <v>4</v>
      </c>
      <c r="E141" t="s">
        <v>42</v>
      </c>
    </row>
    <row r="142" spans="1:5">
      <c r="A142">
        <v>38</v>
      </c>
      <c r="B142" t="str">
        <f t="shared" ref="B142:C142" si="142">B132</f>
        <v>AI</v>
      </c>
      <c r="C142" t="str">
        <f t="shared" si="142"/>
        <v>Distress Check</v>
      </c>
      <c r="D142">
        <v>2</v>
      </c>
    </row>
    <row r="143" spans="1:5">
      <c r="A143">
        <v>38</v>
      </c>
      <c r="B143" t="str">
        <f t="shared" ref="B143:C143" si="143">B133</f>
        <v>AI</v>
      </c>
      <c r="C143" t="str">
        <f t="shared" si="143"/>
        <v>Writing Reflection</v>
      </c>
      <c r="D143">
        <v>2</v>
      </c>
    </row>
    <row r="144" spans="1:5">
      <c r="A144">
        <v>38</v>
      </c>
      <c r="B144" t="str">
        <f t="shared" ref="B144:C144" si="144">B134</f>
        <v>AI</v>
      </c>
      <c r="C144" t="str">
        <f t="shared" si="144"/>
        <v>Avoids Processing</v>
      </c>
      <c r="D144">
        <v>1</v>
      </c>
    </row>
    <row r="145" spans="1:5">
      <c r="A145">
        <v>38</v>
      </c>
      <c r="B145" t="str">
        <f t="shared" ref="B145:C145" si="145">B135</f>
        <v>AI</v>
      </c>
      <c r="C145" t="str">
        <f t="shared" si="145"/>
        <v>Appropriateness</v>
      </c>
      <c r="D145">
        <v>3</v>
      </c>
    </row>
    <row r="146" spans="1:5">
      <c r="A146">
        <v>38</v>
      </c>
      <c r="B146" t="str">
        <f t="shared" ref="B146:C146" si="146">B136</f>
        <v>AI</v>
      </c>
      <c r="C146" t="str">
        <f t="shared" si="146"/>
        <v>Relevance</v>
      </c>
      <c r="D146">
        <v>2</v>
      </c>
    </row>
    <row r="147" spans="1:5">
      <c r="A147">
        <v>38</v>
      </c>
      <c r="B147" t="str">
        <f t="shared" ref="B147:C147" si="147">B137</f>
        <v>Therapist</v>
      </c>
      <c r="C147" t="str">
        <f t="shared" si="147"/>
        <v>Distress Check</v>
      </c>
      <c r="D147">
        <v>2</v>
      </c>
      <c r="E147" t="s">
        <v>43</v>
      </c>
    </row>
    <row r="148" spans="1:5">
      <c r="A148">
        <v>38</v>
      </c>
      <c r="B148" t="str">
        <f t="shared" ref="B148:C148" si="148">B138</f>
        <v>Therapist</v>
      </c>
      <c r="C148" t="str">
        <f t="shared" si="148"/>
        <v>Writing Reflection</v>
      </c>
      <c r="D148">
        <v>4</v>
      </c>
      <c r="E148" t="s">
        <v>47</v>
      </c>
    </row>
    <row r="149" spans="1:5">
      <c r="A149">
        <v>38</v>
      </c>
      <c r="B149" t="str">
        <f t="shared" ref="B149:C149" si="149">B139</f>
        <v>Therapist</v>
      </c>
      <c r="C149" t="str">
        <f t="shared" si="149"/>
        <v>Avoids Processing</v>
      </c>
      <c r="D149">
        <v>2</v>
      </c>
      <c r="E149" t="s">
        <v>44</v>
      </c>
    </row>
    <row r="150" spans="1:5">
      <c r="A150">
        <v>38</v>
      </c>
      <c r="B150" t="str">
        <f t="shared" ref="B150:C150" si="150">B140</f>
        <v>Therapist</v>
      </c>
      <c r="C150" t="str">
        <f t="shared" si="150"/>
        <v>Appropriateness</v>
      </c>
      <c r="D150">
        <v>5</v>
      </c>
      <c r="E150" t="s">
        <v>45</v>
      </c>
    </row>
    <row r="151" spans="1:5">
      <c r="A151">
        <v>38</v>
      </c>
      <c r="B151" t="str">
        <f t="shared" ref="B151:C151" si="151">B141</f>
        <v>Therapist</v>
      </c>
      <c r="C151" t="str">
        <f t="shared" si="151"/>
        <v>Relevance</v>
      </c>
      <c r="D151">
        <v>2</v>
      </c>
      <c r="E151" t="s">
        <v>46</v>
      </c>
    </row>
    <row r="152" spans="1:5">
      <c r="A152">
        <v>42</v>
      </c>
      <c r="B152" t="str">
        <f t="shared" ref="B152:C152" si="152">B142</f>
        <v>AI</v>
      </c>
      <c r="C152" t="str">
        <f t="shared" si="152"/>
        <v>Distress Check</v>
      </c>
      <c r="D152">
        <v>1</v>
      </c>
    </row>
    <row r="153" spans="1:5">
      <c r="A153">
        <v>42</v>
      </c>
      <c r="B153" t="str">
        <f t="shared" ref="B153:C153" si="153">B143</f>
        <v>AI</v>
      </c>
      <c r="C153" t="str">
        <f t="shared" si="153"/>
        <v>Writing Reflection</v>
      </c>
      <c r="D153">
        <v>2</v>
      </c>
    </row>
    <row r="154" spans="1:5">
      <c r="A154">
        <v>42</v>
      </c>
      <c r="B154" t="str">
        <f t="shared" ref="B154:C154" si="154">B144</f>
        <v>AI</v>
      </c>
      <c r="C154" t="str">
        <f t="shared" si="154"/>
        <v>Avoids Processing</v>
      </c>
      <c r="D154">
        <v>1</v>
      </c>
    </row>
    <row r="155" spans="1:5">
      <c r="A155">
        <v>42</v>
      </c>
      <c r="B155" t="str">
        <f t="shared" ref="B155:C155" si="155">B145</f>
        <v>AI</v>
      </c>
      <c r="C155" t="str">
        <f t="shared" si="155"/>
        <v>Appropriateness</v>
      </c>
      <c r="D155">
        <v>4</v>
      </c>
    </row>
    <row r="156" spans="1:5">
      <c r="A156">
        <v>42</v>
      </c>
      <c r="B156" t="str">
        <f t="shared" ref="B156:C156" si="156">B146</f>
        <v>AI</v>
      </c>
      <c r="C156" t="str">
        <f t="shared" si="156"/>
        <v>Relevance</v>
      </c>
      <c r="D156">
        <v>2</v>
      </c>
    </row>
    <row r="157" spans="1:5">
      <c r="A157">
        <v>42</v>
      </c>
      <c r="B157" t="str">
        <f t="shared" ref="B157:C157" si="157">B147</f>
        <v>Therapist</v>
      </c>
      <c r="C157" t="str">
        <f t="shared" si="157"/>
        <v>Distress Check</v>
      </c>
      <c r="D157">
        <v>2</v>
      </c>
      <c r="E157" t="s">
        <v>48</v>
      </c>
    </row>
    <row r="158" spans="1:5">
      <c r="A158">
        <v>42</v>
      </c>
      <c r="B158" t="str">
        <f t="shared" ref="B158:C158" si="158">B148</f>
        <v>Therapist</v>
      </c>
      <c r="C158" t="str">
        <f t="shared" si="158"/>
        <v>Writing Reflection</v>
      </c>
      <c r="D158">
        <v>5</v>
      </c>
    </row>
    <row r="159" spans="1:5">
      <c r="A159">
        <v>42</v>
      </c>
      <c r="B159" t="str">
        <f t="shared" ref="B159:C159" si="159">B149</f>
        <v>Therapist</v>
      </c>
      <c r="C159" t="str">
        <f t="shared" si="159"/>
        <v>Avoids Processing</v>
      </c>
      <c r="D159">
        <v>5</v>
      </c>
    </row>
    <row r="160" spans="1:5">
      <c r="A160">
        <v>42</v>
      </c>
      <c r="B160" t="str">
        <f t="shared" ref="B160:C160" si="160">B150</f>
        <v>Therapist</v>
      </c>
      <c r="C160" t="str">
        <f t="shared" si="160"/>
        <v>Appropriateness</v>
      </c>
      <c r="D160">
        <v>5</v>
      </c>
    </row>
    <row r="161" spans="1:5">
      <c r="A161">
        <v>42</v>
      </c>
      <c r="B161" t="str">
        <f t="shared" ref="B161:C161" si="161">B151</f>
        <v>Therapist</v>
      </c>
      <c r="C161" t="str">
        <f t="shared" si="161"/>
        <v>Relevance</v>
      </c>
      <c r="D161">
        <v>5</v>
      </c>
    </row>
    <row r="162" spans="1:5">
      <c r="A162">
        <v>44</v>
      </c>
      <c r="B162" t="str">
        <f t="shared" ref="B162:C162" si="162">B152</f>
        <v>AI</v>
      </c>
      <c r="C162" t="str">
        <f t="shared" si="162"/>
        <v>Distress Check</v>
      </c>
      <c r="D162">
        <v>2</v>
      </c>
    </row>
    <row r="163" spans="1:5">
      <c r="A163">
        <v>44</v>
      </c>
      <c r="B163" t="str">
        <f t="shared" ref="B163:C163" si="163">B153</f>
        <v>AI</v>
      </c>
      <c r="C163" t="str">
        <f t="shared" si="163"/>
        <v>Writing Reflection</v>
      </c>
      <c r="D163">
        <v>2</v>
      </c>
    </row>
    <row r="164" spans="1:5">
      <c r="A164">
        <v>44</v>
      </c>
      <c r="B164" t="str">
        <f t="shared" ref="B164:C164" si="164">B154</f>
        <v>AI</v>
      </c>
      <c r="C164" t="str">
        <f t="shared" si="164"/>
        <v>Avoids Processing</v>
      </c>
      <c r="D164">
        <v>2</v>
      </c>
    </row>
    <row r="165" spans="1:5">
      <c r="A165">
        <v>44</v>
      </c>
      <c r="B165" t="str">
        <f t="shared" ref="B165:C165" si="165">B155</f>
        <v>AI</v>
      </c>
      <c r="C165" t="str">
        <f t="shared" si="165"/>
        <v>Appropriateness</v>
      </c>
      <c r="D165">
        <v>4</v>
      </c>
      <c r="E165" t="s">
        <v>49</v>
      </c>
    </row>
    <row r="166" spans="1:5">
      <c r="A166">
        <v>44</v>
      </c>
      <c r="B166" t="str">
        <f t="shared" ref="B166:C166" si="166">B156</f>
        <v>AI</v>
      </c>
      <c r="C166" t="str">
        <f t="shared" si="166"/>
        <v>Relevance</v>
      </c>
      <c r="D166">
        <v>2</v>
      </c>
    </row>
    <row r="167" spans="1:5">
      <c r="A167">
        <v>44</v>
      </c>
      <c r="B167" t="str">
        <f t="shared" ref="B167:C167" si="167">B157</f>
        <v>Therapist</v>
      </c>
      <c r="C167" t="str">
        <f t="shared" si="167"/>
        <v>Distress Check</v>
      </c>
      <c r="D167">
        <v>1</v>
      </c>
    </row>
    <row r="168" spans="1:5">
      <c r="A168">
        <v>44</v>
      </c>
      <c r="B168" t="str">
        <f t="shared" ref="B168:C168" si="168">B158</f>
        <v>Therapist</v>
      </c>
      <c r="C168" t="str">
        <f t="shared" si="168"/>
        <v>Writing Reflection</v>
      </c>
      <c r="D168">
        <v>5</v>
      </c>
      <c r="E168" t="s">
        <v>51</v>
      </c>
    </row>
    <row r="169" spans="1:5">
      <c r="A169">
        <v>44</v>
      </c>
      <c r="B169" t="str">
        <f t="shared" ref="B169:C169" si="169">B159</f>
        <v>Therapist</v>
      </c>
      <c r="C169" t="str">
        <f t="shared" si="169"/>
        <v>Avoids Processing</v>
      </c>
      <c r="D169">
        <v>4</v>
      </c>
    </row>
    <row r="170" spans="1:5">
      <c r="A170">
        <v>44</v>
      </c>
      <c r="B170" t="str">
        <f t="shared" ref="B170:C170" si="170">B160</f>
        <v>Therapist</v>
      </c>
      <c r="C170" t="str">
        <f t="shared" si="170"/>
        <v>Appropriateness</v>
      </c>
      <c r="D170">
        <v>3</v>
      </c>
      <c r="E170" t="s">
        <v>50</v>
      </c>
    </row>
    <row r="171" spans="1:5">
      <c r="A171">
        <v>44</v>
      </c>
      <c r="B171" t="str">
        <f t="shared" ref="B171:C171" si="171">B161</f>
        <v>Therapist</v>
      </c>
      <c r="C171" t="str">
        <f t="shared" si="171"/>
        <v>Relevance</v>
      </c>
      <c r="D171">
        <v>4</v>
      </c>
      <c r="E171" t="s">
        <v>52</v>
      </c>
    </row>
    <row r="172" spans="1:5">
      <c r="A172">
        <v>45</v>
      </c>
      <c r="B172" t="str">
        <f t="shared" ref="B172:C172" si="172">B162</f>
        <v>AI</v>
      </c>
      <c r="C172" t="str">
        <f t="shared" si="172"/>
        <v>Distress Check</v>
      </c>
      <c r="D172">
        <v>1</v>
      </c>
    </row>
    <row r="173" spans="1:5">
      <c r="A173">
        <v>45</v>
      </c>
      <c r="B173" t="str">
        <f t="shared" ref="B173:C173" si="173">B163</f>
        <v>AI</v>
      </c>
      <c r="C173" t="str">
        <f t="shared" si="173"/>
        <v>Writing Reflection</v>
      </c>
      <c r="D173">
        <v>2</v>
      </c>
    </row>
    <row r="174" spans="1:5">
      <c r="A174">
        <v>45</v>
      </c>
      <c r="B174" t="str">
        <f t="shared" ref="B174:C174" si="174">B164</f>
        <v>AI</v>
      </c>
      <c r="C174" t="str">
        <f t="shared" si="174"/>
        <v>Avoids Processing</v>
      </c>
      <c r="D174">
        <v>1</v>
      </c>
    </row>
    <row r="175" spans="1:5">
      <c r="A175">
        <v>45</v>
      </c>
      <c r="B175" t="str">
        <f t="shared" ref="B175:C175" si="175">B165</f>
        <v>AI</v>
      </c>
      <c r="C175" t="str">
        <f t="shared" si="175"/>
        <v>Appropriateness</v>
      </c>
      <c r="D175">
        <v>2</v>
      </c>
    </row>
    <row r="176" spans="1:5">
      <c r="A176">
        <v>45</v>
      </c>
      <c r="B176" t="str">
        <f t="shared" ref="B176:C176" si="176">B166</f>
        <v>AI</v>
      </c>
      <c r="C176" t="str">
        <f t="shared" si="176"/>
        <v>Relevance</v>
      </c>
      <c r="D176">
        <v>2</v>
      </c>
    </row>
    <row r="177" spans="1:4">
      <c r="A177">
        <v>45</v>
      </c>
      <c r="B177" t="str">
        <f t="shared" ref="B177:C177" si="177">B167</f>
        <v>Therapist</v>
      </c>
      <c r="C177" t="str">
        <f t="shared" si="177"/>
        <v>Distress Check</v>
      </c>
      <c r="D177">
        <v>3</v>
      </c>
    </row>
    <row r="178" spans="1:4">
      <c r="A178">
        <v>45</v>
      </c>
      <c r="B178" t="str">
        <f t="shared" ref="B178:C178" si="178">B168</f>
        <v>Therapist</v>
      </c>
      <c r="C178" t="str">
        <f t="shared" si="178"/>
        <v>Writing Reflection</v>
      </c>
      <c r="D178">
        <v>3</v>
      </c>
    </row>
    <row r="179" spans="1:4">
      <c r="A179">
        <v>45</v>
      </c>
      <c r="B179" t="str">
        <f t="shared" ref="B179:C179" si="179">B169</f>
        <v>Therapist</v>
      </c>
      <c r="C179" t="str">
        <f t="shared" si="179"/>
        <v>Avoids Processing</v>
      </c>
      <c r="D179">
        <v>5</v>
      </c>
    </row>
    <row r="180" spans="1:4">
      <c r="A180">
        <v>45</v>
      </c>
      <c r="B180" t="str">
        <f t="shared" ref="B180:C180" si="180">B170</f>
        <v>Therapist</v>
      </c>
      <c r="C180" t="str">
        <f t="shared" si="180"/>
        <v>Appropriateness</v>
      </c>
      <c r="D180">
        <v>4</v>
      </c>
    </row>
    <row r="181" spans="1:4">
      <c r="A181">
        <v>45</v>
      </c>
      <c r="B181" t="str">
        <f t="shared" ref="B181:C181" si="181">B171</f>
        <v>Therapist</v>
      </c>
      <c r="C181" t="str">
        <f t="shared" si="181"/>
        <v>Relevance</v>
      </c>
      <c r="D181">
        <v>3</v>
      </c>
    </row>
    <row r="182" spans="1:4">
      <c r="A182">
        <v>46</v>
      </c>
      <c r="B182" t="str">
        <f t="shared" ref="B182:C182" si="182">B172</f>
        <v>AI</v>
      </c>
      <c r="C182" t="str">
        <f t="shared" si="182"/>
        <v>Distress Check</v>
      </c>
      <c r="D182">
        <v>2</v>
      </c>
    </row>
    <row r="183" spans="1:4">
      <c r="A183">
        <v>46</v>
      </c>
      <c r="B183" t="str">
        <f t="shared" ref="B183:C183" si="183">B173</f>
        <v>AI</v>
      </c>
      <c r="C183" t="str">
        <f t="shared" si="183"/>
        <v>Writing Reflection</v>
      </c>
      <c r="D183">
        <v>2</v>
      </c>
    </row>
    <row r="184" spans="1:4">
      <c r="A184">
        <v>46</v>
      </c>
      <c r="B184" t="str">
        <f t="shared" ref="B184:C184" si="184">B174</f>
        <v>AI</v>
      </c>
      <c r="C184" t="str">
        <f t="shared" si="184"/>
        <v>Avoids Processing</v>
      </c>
      <c r="D184">
        <v>1</v>
      </c>
    </row>
    <row r="185" spans="1:4">
      <c r="A185">
        <v>46</v>
      </c>
      <c r="B185" t="str">
        <f t="shared" ref="B185:C185" si="185">B175</f>
        <v>AI</v>
      </c>
      <c r="C185" t="str">
        <f t="shared" si="185"/>
        <v>Appropriateness</v>
      </c>
      <c r="D185">
        <v>2</v>
      </c>
    </row>
    <row r="186" spans="1:4">
      <c r="A186">
        <v>46</v>
      </c>
      <c r="B186" t="str">
        <f t="shared" ref="B186:C186" si="186">B176</f>
        <v>AI</v>
      </c>
      <c r="C186" t="str">
        <f t="shared" si="186"/>
        <v>Relevance</v>
      </c>
      <c r="D186">
        <v>2</v>
      </c>
    </row>
    <row r="187" spans="1:4">
      <c r="A187">
        <v>46</v>
      </c>
      <c r="B187" t="str">
        <f t="shared" ref="B187:C187" si="187">B177</f>
        <v>Therapist</v>
      </c>
      <c r="C187" t="str">
        <f t="shared" si="187"/>
        <v>Distress Check</v>
      </c>
      <c r="D187">
        <v>4</v>
      </c>
    </row>
    <row r="188" spans="1:4">
      <c r="A188">
        <v>46</v>
      </c>
      <c r="B188" t="str">
        <f t="shared" ref="B188:C188" si="188">B178</f>
        <v>Therapist</v>
      </c>
      <c r="C188" t="str">
        <f t="shared" si="188"/>
        <v>Writing Reflection</v>
      </c>
      <c r="D188">
        <v>3</v>
      </c>
    </row>
    <row r="189" spans="1:4">
      <c r="A189">
        <v>46</v>
      </c>
      <c r="B189" t="str">
        <f t="shared" ref="B189:C189" si="189">B179</f>
        <v>Therapist</v>
      </c>
      <c r="C189" t="str">
        <f t="shared" si="189"/>
        <v>Avoids Processing</v>
      </c>
      <c r="D189">
        <v>3</v>
      </c>
    </row>
    <row r="190" spans="1:4">
      <c r="A190">
        <v>46</v>
      </c>
      <c r="B190" t="str">
        <f t="shared" ref="B190:C190" si="190">B180</f>
        <v>Therapist</v>
      </c>
      <c r="C190" t="str">
        <f t="shared" si="190"/>
        <v>Appropriateness</v>
      </c>
      <c r="D190">
        <v>5</v>
      </c>
    </row>
    <row r="191" spans="1:4">
      <c r="A191">
        <v>46</v>
      </c>
      <c r="B191" t="str">
        <f t="shared" ref="B191:C191" si="191">B181</f>
        <v>Therapist</v>
      </c>
      <c r="C191" t="str">
        <f t="shared" si="191"/>
        <v>Relevance</v>
      </c>
      <c r="D191">
        <v>3</v>
      </c>
    </row>
    <row r="192" spans="1:4">
      <c r="A192">
        <v>49</v>
      </c>
      <c r="B192" t="str">
        <f t="shared" ref="B192:C192" si="192">B182</f>
        <v>AI</v>
      </c>
      <c r="C192" t="str">
        <f t="shared" si="192"/>
        <v>Distress Check</v>
      </c>
      <c r="D192">
        <v>1</v>
      </c>
    </row>
    <row r="193" spans="1:5">
      <c r="A193">
        <v>49</v>
      </c>
      <c r="B193" t="str">
        <f t="shared" ref="B193:C193" si="193">B183</f>
        <v>AI</v>
      </c>
      <c r="C193" t="str">
        <f t="shared" si="193"/>
        <v>Writing Reflection</v>
      </c>
      <c r="D193">
        <v>2</v>
      </c>
    </row>
    <row r="194" spans="1:5">
      <c r="A194">
        <v>49</v>
      </c>
      <c r="B194" t="str">
        <f t="shared" ref="B194:C194" si="194">B184</f>
        <v>AI</v>
      </c>
      <c r="C194" t="str">
        <f t="shared" si="194"/>
        <v>Avoids Processing</v>
      </c>
      <c r="D194">
        <v>1</v>
      </c>
    </row>
    <row r="195" spans="1:5">
      <c r="A195">
        <v>49</v>
      </c>
      <c r="B195" t="str">
        <f t="shared" ref="B195:C195" si="195">B185</f>
        <v>AI</v>
      </c>
      <c r="C195" t="str">
        <f t="shared" si="195"/>
        <v>Appropriateness</v>
      </c>
      <c r="D195">
        <v>2</v>
      </c>
    </row>
    <row r="196" spans="1:5">
      <c r="A196">
        <v>49</v>
      </c>
      <c r="B196" t="str">
        <f t="shared" ref="B196:C196" si="196">B186</f>
        <v>AI</v>
      </c>
      <c r="C196" t="str">
        <f t="shared" si="196"/>
        <v>Relevance</v>
      </c>
      <c r="D196">
        <v>2</v>
      </c>
    </row>
    <row r="197" spans="1:5">
      <c r="A197">
        <v>49</v>
      </c>
      <c r="B197" t="str">
        <f t="shared" ref="B197:C197" si="197">B187</f>
        <v>Therapist</v>
      </c>
      <c r="C197" t="str">
        <f t="shared" si="197"/>
        <v>Distress Check</v>
      </c>
      <c r="D197">
        <v>3</v>
      </c>
    </row>
    <row r="198" spans="1:5">
      <c r="A198">
        <v>49</v>
      </c>
      <c r="B198" t="str">
        <f t="shared" ref="B198:C198" si="198">B188</f>
        <v>Therapist</v>
      </c>
      <c r="C198" t="str">
        <f t="shared" si="198"/>
        <v>Writing Reflection</v>
      </c>
      <c r="D198">
        <v>4</v>
      </c>
      <c r="E198" t="s">
        <v>53</v>
      </c>
    </row>
    <row r="199" spans="1:5">
      <c r="A199">
        <v>49</v>
      </c>
      <c r="B199" t="str">
        <f t="shared" ref="B199:C199" si="199">B189</f>
        <v>Therapist</v>
      </c>
      <c r="C199" t="str">
        <f t="shared" si="199"/>
        <v>Avoids Processing</v>
      </c>
      <c r="D199">
        <v>2</v>
      </c>
      <c r="E199" t="s">
        <v>54</v>
      </c>
    </row>
    <row r="200" spans="1:5">
      <c r="A200">
        <v>49</v>
      </c>
      <c r="B200" t="str">
        <f t="shared" ref="B200:C200" si="200">B190</f>
        <v>Therapist</v>
      </c>
      <c r="C200" t="str">
        <f t="shared" si="200"/>
        <v>Appropriateness</v>
      </c>
      <c r="D200">
        <v>4</v>
      </c>
      <c r="E200" t="s">
        <v>55</v>
      </c>
    </row>
    <row r="201" spans="1:5">
      <c r="A201">
        <v>49</v>
      </c>
      <c r="B201" t="str">
        <f t="shared" ref="B201:C201" si="201">B191</f>
        <v>Therapist</v>
      </c>
      <c r="C201" t="str">
        <f t="shared" si="201"/>
        <v>Relevance</v>
      </c>
      <c r="D201">
        <v>3</v>
      </c>
      <c r="E201" t="s">
        <v>56</v>
      </c>
    </row>
    <row r="202" spans="1:5">
      <c r="A202">
        <v>51</v>
      </c>
      <c r="B202" t="str">
        <f t="shared" ref="B202:C202" si="202">B192</f>
        <v>AI</v>
      </c>
      <c r="C202" t="str">
        <f t="shared" si="202"/>
        <v>Distress Check</v>
      </c>
      <c r="D202">
        <v>2</v>
      </c>
    </row>
    <row r="203" spans="1:5">
      <c r="A203">
        <v>51</v>
      </c>
      <c r="B203" t="str">
        <f t="shared" ref="B203:C203" si="203">B193</f>
        <v>AI</v>
      </c>
      <c r="C203" t="str">
        <f t="shared" si="203"/>
        <v>Writing Reflection</v>
      </c>
      <c r="D203">
        <v>3</v>
      </c>
    </row>
    <row r="204" spans="1:5">
      <c r="A204">
        <v>51</v>
      </c>
      <c r="B204" t="str">
        <f t="shared" ref="B204:C204" si="204">B194</f>
        <v>AI</v>
      </c>
      <c r="C204" t="str">
        <f t="shared" si="204"/>
        <v>Avoids Processing</v>
      </c>
      <c r="D204">
        <v>1</v>
      </c>
    </row>
    <row r="205" spans="1:5">
      <c r="A205">
        <v>51</v>
      </c>
      <c r="B205" t="str">
        <f t="shared" ref="B205:C205" si="205">B195</f>
        <v>AI</v>
      </c>
      <c r="C205" t="str">
        <f t="shared" si="205"/>
        <v>Appropriateness</v>
      </c>
      <c r="D205">
        <v>2</v>
      </c>
    </row>
    <row r="206" spans="1:5">
      <c r="A206">
        <v>51</v>
      </c>
      <c r="B206" t="str">
        <f t="shared" ref="B206:C206" si="206">B196</f>
        <v>AI</v>
      </c>
      <c r="C206" t="str">
        <f t="shared" si="206"/>
        <v>Relevance</v>
      </c>
      <c r="D206">
        <v>2</v>
      </c>
    </row>
    <row r="207" spans="1:5">
      <c r="A207">
        <v>51</v>
      </c>
      <c r="B207" t="str">
        <f t="shared" ref="B207:C207" si="207">B197</f>
        <v>Therapist</v>
      </c>
      <c r="C207" t="str">
        <f t="shared" si="207"/>
        <v>Distress Check</v>
      </c>
      <c r="D207">
        <v>2</v>
      </c>
    </row>
    <row r="208" spans="1:5">
      <c r="A208">
        <v>51</v>
      </c>
      <c r="B208" t="str">
        <f t="shared" ref="B208:C208" si="208">B198</f>
        <v>Therapist</v>
      </c>
      <c r="C208" t="str">
        <f t="shared" si="208"/>
        <v>Writing Reflection</v>
      </c>
      <c r="D208">
        <v>5</v>
      </c>
    </row>
    <row r="209" spans="1:5">
      <c r="A209">
        <v>51</v>
      </c>
      <c r="B209" t="str">
        <f t="shared" ref="B209:C209" si="209">B199</f>
        <v>Therapist</v>
      </c>
      <c r="C209" t="str">
        <f t="shared" si="209"/>
        <v>Avoids Processing</v>
      </c>
      <c r="D209">
        <v>3</v>
      </c>
      <c r="E209" t="s">
        <v>57</v>
      </c>
    </row>
    <row r="210" spans="1:5">
      <c r="A210">
        <v>51</v>
      </c>
      <c r="B210" t="str">
        <f t="shared" ref="B210:C210" si="210">B200</f>
        <v>Therapist</v>
      </c>
      <c r="C210" t="str">
        <f t="shared" si="210"/>
        <v>Appropriateness</v>
      </c>
      <c r="D210">
        <v>4</v>
      </c>
    </row>
    <row r="211" spans="1:5">
      <c r="A211">
        <v>51</v>
      </c>
      <c r="B211" t="str">
        <f t="shared" ref="B211:C211" si="211">B201</f>
        <v>Therapist</v>
      </c>
      <c r="C211" t="str">
        <f t="shared" si="211"/>
        <v>Relevance</v>
      </c>
      <c r="D211">
        <v>4</v>
      </c>
    </row>
    <row r="212" spans="1:5">
      <c r="A212">
        <v>52</v>
      </c>
      <c r="B212" t="str">
        <f t="shared" ref="B212:C212" si="212">B202</f>
        <v>AI</v>
      </c>
      <c r="C212" t="str">
        <f t="shared" si="212"/>
        <v>Distress Check</v>
      </c>
      <c r="D212">
        <v>3</v>
      </c>
      <c r="E212" t="s">
        <v>58</v>
      </c>
    </row>
    <row r="213" spans="1:5">
      <c r="A213">
        <v>52</v>
      </c>
      <c r="B213" t="str">
        <f t="shared" ref="B213:C213" si="213">B203</f>
        <v>AI</v>
      </c>
      <c r="C213" t="str">
        <f t="shared" si="213"/>
        <v>Writing Reflection</v>
      </c>
      <c r="D213">
        <v>2</v>
      </c>
    </row>
    <row r="214" spans="1:5">
      <c r="A214">
        <v>52</v>
      </c>
      <c r="B214" t="str">
        <f t="shared" ref="B214:C214" si="214">B204</f>
        <v>AI</v>
      </c>
      <c r="C214" t="str">
        <f t="shared" si="214"/>
        <v>Avoids Processing</v>
      </c>
      <c r="D214">
        <v>1</v>
      </c>
    </row>
    <row r="215" spans="1:5">
      <c r="A215">
        <v>52</v>
      </c>
      <c r="B215" t="str">
        <f t="shared" ref="B215:C215" si="215">B205</f>
        <v>AI</v>
      </c>
      <c r="C215" t="str">
        <f t="shared" si="215"/>
        <v>Appropriateness</v>
      </c>
      <c r="D215">
        <v>2</v>
      </c>
    </row>
    <row r="216" spans="1:5">
      <c r="A216">
        <v>52</v>
      </c>
      <c r="B216" t="str">
        <f t="shared" ref="B216:C216" si="216">B206</f>
        <v>AI</v>
      </c>
      <c r="C216" t="str">
        <f t="shared" si="216"/>
        <v>Relevance</v>
      </c>
      <c r="D216">
        <v>2</v>
      </c>
    </row>
    <row r="217" spans="1:5">
      <c r="A217">
        <v>52</v>
      </c>
      <c r="B217" t="str">
        <f t="shared" ref="B217:C217" si="217">B207</f>
        <v>Therapist</v>
      </c>
      <c r="C217" t="str">
        <f t="shared" si="217"/>
        <v>Distress Check</v>
      </c>
      <c r="D217">
        <v>4</v>
      </c>
    </row>
    <row r="218" spans="1:5">
      <c r="A218">
        <v>52</v>
      </c>
      <c r="B218" t="str">
        <f t="shared" ref="B218:C218" si="218">B208</f>
        <v>Therapist</v>
      </c>
      <c r="C218" t="str">
        <f t="shared" si="218"/>
        <v>Writing Reflection</v>
      </c>
      <c r="D218">
        <v>3</v>
      </c>
    </row>
    <row r="219" spans="1:5">
      <c r="A219">
        <v>52</v>
      </c>
      <c r="B219" t="str">
        <f t="shared" ref="B219:C219" si="219">B209</f>
        <v>Therapist</v>
      </c>
      <c r="C219" t="str">
        <f t="shared" si="219"/>
        <v>Avoids Processing</v>
      </c>
      <c r="D219">
        <v>4</v>
      </c>
      <c r="E219" t="s">
        <v>59</v>
      </c>
    </row>
    <row r="220" spans="1:5">
      <c r="A220">
        <v>52</v>
      </c>
      <c r="B220" t="str">
        <f t="shared" ref="B220:C220" si="220">B210</f>
        <v>Therapist</v>
      </c>
      <c r="C220" t="str">
        <f t="shared" si="220"/>
        <v>Appropriateness</v>
      </c>
      <c r="D220">
        <v>5</v>
      </c>
    </row>
    <row r="221" spans="1:5">
      <c r="A221">
        <v>52</v>
      </c>
      <c r="B221" t="str">
        <f t="shared" ref="B221:C221" si="221">B211</f>
        <v>Therapist</v>
      </c>
      <c r="C221" t="str">
        <f t="shared" si="221"/>
        <v>Relevance</v>
      </c>
      <c r="D221">
        <v>3</v>
      </c>
      <c r="E221" t="s">
        <v>60</v>
      </c>
    </row>
    <row r="222" spans="1:5">
      <c r="A222">
        <v>55</v>
      </c>
      <c r="B222" t="str">
        <f t="shared" ref="B222:C222" si="222">B212</f>
        <v>AI</v>
      </c>
      <c r="C222" t="str">
        <f t="shared" si="222"/>
        <v>Distress Check</v>
      </c>
      <c r="D222">
        <v>3</v>
      </c>
    </row>
    <row r="223" spans="1:5">
      <c r="A223">
        <v>55</v>
      </c>
      <c r="B223" t="str">
        <f t="shared" ref="B223:C223" si="223">B213</f>
        <v>AI</v>
      </c>
      <c r="C223" t="str">
        <f t="shared" si="223"/>
        <v>Writing Reflection</v>
      </c>
      <c r="D223">
        <v>2</v>
      </c>
    </row>
    <row r="224" spans="1:5">
      <c r="A224">
        <v>55</v>
      </c>
      <c r="B224" t="str">
        <f t="shared" ref="B224:C224" si="224">B214</f>
        <v>AI</v>
      </c>
      <c r="C224" t="str">
        <f t="shared" si="224"/>
        <v>Avoids Processing</v>
      </c>
      <c r="D224">
        <v>1</v>
      </c>
    </row>
    <row r="225" spans="1:5">
      <c r="A225">
        <v>55</v>
      </c>
      <c r="B225" t="str">
        <f t="shared" ref="B225:C225" si="225">B215</f>
        <v>AI</v>
      </c>
      <c r="C225" t="str">
        <f t="shared" si="225"/>
        <v>Appropriateness</v>
      </c>
      <c r="D225">
        <v>2</v>
      </c>
    </row>
    <row r="226" spans="1:5">
      <c r="A226">
        <v>55</v>
      </c>
      <c r="B226" t="str">
        <f t="shared" ref="B226:C226" si="226">B216</f>
        <v>AI</v>
      </c>
      <c r="C226" t="str">
        <f t="shared" si="226"/>
        <v>Relevance</v>
      </c>
      <c r="D226">
        <v>2</v>
      </c>
    </row>
    <row r="227" spans="1:5">
      <c r="A227">
        <v>55</v>
      </c>
      <c r="B227" t="str">
        <f t="shared" ref="B227:C227" si="227">B217</f>
        <v>Therapist</v>
      </c>
      <c r="C227" t="str">
        <f t="shared" si="227"/>
        <v>Distress Check</v>
      </c>
      <c r="D227">
        <v>3</v>
      </c>
    </row>
    <row r="228" spans="1:5">
      <c r="A228">
        <v>55</v>
      </c>
      <c r="B228" t="str">
        <f t="shared" ref="B228:C228" si="228">B218</f>
        <v>Therapist</v>
      </c>
      <c r="C228" t="str">
        <f t="shared" si="228"/>
        <v>Writing Reflection</v>
      </c>
      <c r="D228">
        <v>4</v>
      </c>
    </row>
    <row r="229" spans="1:5">
      <c r="A229">
        <v>55</v>
      </c>
      <c r="B229" t="str">
        <f t="shared" ref="B229:C229" si="229">B219</f>
        <v>Therapist</v>
      </c>
      <c r="C229" t="str">
        <f t="shared" si="229"/>
        <v>Avoids Processing</v>
      </c>
      <c r="D229">
        <v>2</v>
      </c>
      <c r="E229" t="s">
        <v>62</v>
      </c>
    </row>
    <row r="230" spans="1:5">
      <c r="A230">
        <v>55</v>
      </c>
      <c r="B230" t="str">
        <f t="shared" ref="B230:C230" si="230">B220</f>
        <v>Therapist</v>
      </c>
      <c r="C230" t="str">
        <f t="shared" si="230"/>
        <v>Appropriateness</v>
      </c>
      <c r="D230">
        <v>2</v>
      </c>
      <c r="E230" t="s">
        <v>61</v>
      </c>
    </row>
    <row r="231" spans="1:5">
      <c r="A231">
        <v>55</v>
      </c>
      <c r="B231" t="str">
        <f t="shared" ref="B231:C231" si="231">B221</f>
        <v>Therapist</v>
      </c>
      <c r="C231" t="str">
        <f t="shared" si="231"/>
        <v>Relevance</v>
      </c>
      <c r="D231">
        <v>3</v>
      </c>
    </row>
    <row r="232" spans="1:5">
      <c r="A232">
        <v>60</v>
      </c>
      <c r="B232" t="str">
        <f t="shared" ref="B232:C232" si="232">B222</f>
        <v>AI</v>
      </c>
      <c r="C232" t="str">
        <f t="shared" si="232"/>
        <v>Distress Check</v>
      </c>
      <c r="D232">
        <v>2</v>
      </c>
    </row>
    <row r="233" spans="1:5">
      <c r="A233">
        <v>60</v>
      </c>
      <c r="B233" t="str">
        <f t="shared" ref="B233:C233" si="233">B223</f>
        <v>AI</v>
      </c>
      <c r="C233" t="str">
        <f t="shared" si="233"/>
        <v>Writing Reflection</v>
      </c>
      <c r="D233">
        <v>2</v>
      </c>
    </row>
    <row r="234" spans="1:5">
      <c r="A234">
        <v>60</v>
      </c>
      <c r="B234" t="str">
        <f t="shared" ref="B234:C234" si="234">B224</f>
        <v>AI</v>
      </c>
      <c r="C234" t="str">
        <f t="shared" si="234"/>
        <v>Avoids Processing</v>
      </c>
      <c r="D234">
        <v>1</v>
      </c>
    </row>
    <row r="235" spans="1:5">
      <c r="A235">
        <v>60</v>
      </c>
      <c r="B235" t="str">
        <f t="shared" ref="B235:C235" si="235">B225</f>
        <v>AI</v>
      </c>
      <c r="C235" t="str">
        <f t="shared" si="235"/>
        <v>Appropriateness</v>
      </c>
      <c r="D235">
        <v>2</v>
      </c>
    </row>
    <row r="236" spans="1:5">
      <c r="A236">
        <v>60</v>
      </c>
      <c r="B236" t="str">
        <f t="shared" ref="B236:C236" si="236">B226</f>
        <v>AI</v>
      </c>
      <c r="C236" t="str">
        <f t="shared" si="236"/>
        <v>Relevance</v>
      </c>
      <c r="D236">
        <v>2</v>
      </c>
    </row>
    <row r="237" spans="1:5">
      <c r="A237">
        <v>60</v>
      </c>
      <c r="B237" t="str">
        <f t="shared" ref="B237:C237" si="237">B227</f>
        <v>Therapist</v>
      </c>
      <c r="C237" t="str">
        <f t="shared" si="237"/>
        <v>Distress Check</v>
      </c>
      <c r="D237">
        <v>4</v>
      </c>
    </row>
    <row r="238" spans="1:5">
      <c r="A238">
        <v>60</v>
      </c>
      <c r="B238" t="str">
        <f t="shared" ref="B238:C238" si="238">B228</f>
        <v>Therapist</v>
      </c>
      <c r="C238" t="str">
        <f t="shared" si="238"/>
        <v>Writing Reflection</v>
      </c>
      <c r="D238">
        <v>2</v>
      </c>
    </row>
    <row r="239" spans="1:5">
      <c r="A239">
        <v>60</v>
      </c>
      <c r="B239" t="str">
        <f t="shared" ref="B239:C239" si="239">B229</f>
        <v>Therapist</v>
      </c>
      <c r="C239" t="str">
        <f t="shared" si="239"/>
        <v>Avoids Processing</v>
      </c>
      <c r="D239">
        <v>3</v>
      </c>
      <c r="E239" t="s">
        <v>63</v>
      </c>
    </row>
    <row r="240" spans="1:5">
      <c r="A240">
        <v>60</v>
      </c>
      <c r="B240" t="str">
        <f t="shared" ref="B240:C240" si="240">B230</f>
        <v>Therapist</v>
      </c>
      <c r="C240" t="str">
        <f t="shared" si="240"/>
        <v>Appropriateness</v>
      </c>
      <c r="D240">
        <v>5</v>
      </c>
    </row>
    <row r="241" spans="1:5">
      <c r="A241">
        <v>60</v>
      </c>
      <c r="B241" t="str">
        <f t="shared" ref="B241:C241" si="241">B231</f>
        <v>Therapist</v>
      </c>
      <c r="C241" t="str">
        <f t="shared" si="241"/>
        <v>Relevance</v>
      </c>
      <c r="D241">
        <v>3</v>
      </c>
    </row>
    <row r="242" spans="1:5">
      <c r="A242">
        <v>66</v>
      </c>
      <c r="B242" t="str">
        <f t="shared" ref="B242:C242" si="242">B232</f>
        <v>AI</v>
      </c>
      <c r="C242" t="str">
        <f t="shared" si="242"/>
        <v>Distress Check</v>
      </c>
      <c r="D242">
        <v>2</v>
      </c>
    </row>
    <row r="243" spans="1:5">
      <c r="A243">
        <v>66</v>
      </c>
      <c r="B243" t="str">
        <f t="shared" ref="B243:C243" si="243">B233</f>
        <v>AI</v>
      </c>
      <c r="C243" t="str">
        <f t="shared" si="243"/>
        <v>Writing Reflection</v>
      </c>
      <c r="D243">
        <v>2</v>
      </c>
    </row>
    <row r="244" spans="1:5">
      <c r="A244">
        <v>66</v>
      </c>
      <c r="B244" t="str">
        <f t="shared" ref="B244:C244" si="244">B234</f>
        <v>AI</v>
      </c>
      <c r="C244" t="str">
        <f t="shared" si="244"/>
        <v>Avoids Processing</v>
      </c>
      <c r="D244">
        <v>1</v>
      </c>
    </row>
    <row r="245" spans="1:5">
      <c r="A245">
        <v>66</v>
      </c>
      <c r="B245" t="str">
        <f t="shared" ref="B245:C245" si="245">B235</f>
        <v>AI</v>
      </c>
      <c r="C245" t="str">
        <f t="shared" si="245"/>
        <v>Appropriateness</v>
      </c>
      <c r="D245">
        <v>2</v>
      </c>
    </row>
    <row r="246" spans="1:5">
      <c r="A246">
        <v>66</v>
      </c>
      <c r="B246" t="str">
        <f t="shared" ref="B246:C246" si="246">B236</f>
        <v>AI</v>
      </c>
      <c r="C246" t="str">
        <f t="shared" si="246"/>
        <v>Relevance</v>
      </c>
      <c r="D246">
        <v>2</v>
      </c>
    </row>
    <row r="247" spans="1:5">
      <c r="A247">
        <v>66</v>
      </c>
      <c r="B247" t="str">
        <f t="shared" ref="B247:C247" si="247">B237</f>
        <v>Therapist</v>
      </c>
      <c r="C247" t="str">
        <f t="shared" si="247"/>
        <v>Distress Check</v>
      </c>
      <c r="D247">
        <v>5</v>
      </c>
    </row>
    <row r="248" spans="1:5">
      <c r="A248">
        <v>66</v>
      </c>
      <c r="B248" t="str">
        <f t="shared" ref="B248:C248" si="248">B238</f>
        <v>Therapist</v>
      </c>
      <c r="C248" t="str">
        <f t="shared" si="248"/>
        <v>Writing Reflection</v>
      </c>
      <c r="D248">
        <v>4</v>
      </c>
      <c r="E248" t="s">
        <v>64</v>
      </c>
    </row>
    <row r="249" spans="1:5">
      <c r="A249">
        <v>66</v>
      </c>
      <c r="B249" t="str">
        <f t="shared" ref="B249:C249" si="249">B239</f>
        <v>Therapist</v>
      </c>
      <c r="C249" t="str">
        <f t="shared" si="249"/>
        <v>Avoids Processing</v>
      </c>
      <c r="D249">
        <v>5</v>
      </c>
      <c r="E249" t="s">
        <v>65</v>
      </c>
    </row>
    <row r="250" spans="1:5">
      <c r="A250">
        <v>66</v>
      </c>
      <c r="B250" t="str">
        <f t="shared" ref="B250:C250" si="250">B240</f>
        <v>Therapist</v>
      </c>
      <c r="C250" t="str">
        <f t="shared" si="250"/>
        <v>Appropriateness</v>
      </c>
      <c r="D250">
        <v>5</v>
      </c>
    </row>
    <row r="251" spans="1:5">
      <c r="A251">
        <v>66</v>
      </c>
      <c r="B251" t="str">
        <f t="shared" ref="B251:C251" si="251">B241</f>
        <v>Therapist</v>
      </c>
      <c r="C251" t="str">
        <f t="shared" si="251"/>
        <v>Relevance</v>
      </c>
      <c r="D251">
        <v>5</v>
      </c>
    </row>
    <row r="252" spans="1:5">
      <c r="A252">
        <v>68</v>
      </c>
      <c r="B252" t="str">
        <f t="shared" ref="B252:C252" si="252">B242</f>
        <v>AI</v>
      </c>
      <c r="C252" t="str">
        <f t="shared" si="252"/>
        <v>Distress Check</v>
      </c>
      <c r="D252">
        <v>2</v>
      </c>
    </row>
    <row r="253" spans="1:5">
      <c r="A253">
        <v>68</v>
      </c>
      <c r="B253" t="str">
        <f t="shared" ref="B253:C253" si="253">B243</f>
        <v>AI</v>
      </c>
      <c r="C253" t="str">
        <f t="shared" si="253"/>
        <v>Writing Reflection</v>
      </c>
      <c r="D253">
        <v>2</v>
      </c>
    </row>
    <row r="254" spans="1:5">
      <c r="A254">
        <v>68</v>
      </c>
      <c r="B254" t="str">
        <f t="shared" ref="B254:C254" si="254">B244</f>
        <v>AI</v>
      </c>
      <c r="C254" t="str">
        <f t="shared" si="254"/>
        <v>Avoids Processing</v>
      </c>
      <c r="D254">
        <v>1</v>
      </c>
    </row>
    <row r="255" spans="1:5">
      <c r="A255">
        <v>68</v>
      </c>
      <c r="B255" t="str">
        <f t="shared" ref="B255:C255" si="255">B245</f>
        <v>AI</v>
      </c>
      <c r="C255" t="str">
        <f t="shared" si="255"/>
        <v>Appropriateness</v>
      </c>
      <c r="D255">
        <v>2</v>
      </c>
    </row>
    <row r="256" spans="1:5">
      <c r="A256">
        <v>68</v>
      </c>
      <c r="B256" t="str">
        <f t="shared" ref="B256:C256" si="256">B246</f>
        <v>AI</v>
      </c>
      <c r="C256" t="str">
        <f t="shared" si="256"/>
        <v>Relevance</v>
      </c>
      <c r="D256">
        <v>2</v>
      </c>
    </row>
    <row r="257" spans="1:5">
      <c r="A257">
        <v>68</v>
      </c>
      <c r="B257" t="str">
        <f t="shared" ref="B257:C257" si="257">B247</f>
        <v>Therapist</v>
      </c>
      <c r="C257" t="str">
        <f t="shared" si="257"/>
        <v>Distress Check</v>
      </c>
      <c r="D257">
        <v>5</v>
      </c>
    </row>
    <row r="258" spans="1:5">
      <c r="A258">
        <v>68</v>
      </c>
      <c r="B258" t="str">
        <f t="shared" ref="B258:C258" si="258">B248</f>
        <v>Therapist</v>
      </c>
      <c r="C258" t="str">
        <f t="shared" si="258"/>
        <v>Writing Reflection</v>
      </c>
      <c r="D258">
        <v>2</v>
      </c>
    </row>
    <row r="259" spans="1:5">
      <c r="A259">
        <v>68</v>
      </c>
      <c r="B259" t="str">
        <f t="shared" ref="B259:C259" si="259">B249</f>
        <v>Therapist</v>
      </c>
      <c r="C259" t="str">
        <f t="shared" si="259"/>
        <v>Avoids Processing</v>
      </c>
      <c r="D259">
        <v>4</v>
      </c>
    </row>
    <row r="260" spans="1:5">
      <c r="A260">
        <v>68</v>
      </c>
      <c r="B260" t="str">
        <f t="shared" ref="B260:C260" si="260">B250</f>
        <v>Therapist</v>
      </c>
      <c r="C260" t="str">
        <f t="shared" si="260"/>
        <v>Appropriateness</v>
      </c>
      <c r="D260">
        <v>5</v>
      </c>
    </row>
    <row r="261" spans="1:5">
      <c r="A261">
        <v>68</v>
      </c>
      <c r="B261" t="str">
        <f t="shared" ref="B261:C261" si="261">B251</f>
        <v>Therapist</v>
      </c>
      <c r="C261" t="str">
        <f t="shared" si="261"/>
        <v>Relevance</v>
      </c>
      <c r="D261">
        <v>3</v>
      </c>
    </row>
    <row r="262" spans="1:5">
      <c r="A262">
        <v>70</v>
      </c>
      <c r="B262" t="str">
        <f t="shared" ref="B262:C262" si="262">B252</f>
        <v>AI</v>
      </c>
      <c r="C262" t="str">
        <f t="shared" si="262"/>
        <v>Distress Check</v>
      </c>
      <c r="D262">
        <v>1</v>
      </c>
    </row>
    <row r="263" spans="1:5">
      <c r="A263">
        <v>70</v>
      </c>
      <c r="B263" t="str">
        <f t="shared" ref="B263:C263" si="263">B253</f>
        <v>AI</v>
      </c>
      <c r="C263" t="str">
        <f t="shared" si="263"/>
        <v>Writing Reflection</v>
      </c>
      <c r="D263">
        <v>2</v>
      </c>
    </row>
    <row r="264" spans="1:5">
      <c r="A264">
        <v>70</v>
      </c>
      <c r="B264" t="str">
        <f t="shared" ref="B264:C264" si="264">B254</f>
        <v>AI</v>
      </c>
      <c r="C264" t="str">
        <f t="shared" si="264"/>
        <v>Avoids Processing</v>
      </c>
      <c r="D264">
        <v>1</v>
      </c>
    </row>
    <row r="265" spans="1:5">
      <c r="A265">
        <v>70</v>
      </c>
      <c r="B265" t="str">
        <f t="shared" ref="B265:C265" si="265">B255</f>
        <v>AI</v>
      </c>
      <c r="C265" t="str">
        <f t="shared" si="265"/>
        <v>Appropriateness</v>
      </c>
      <c r="D265">
        <v>3</v>
      </c>
    </row>
    <row r="266" spans="1:5">
      <c r="A266">
        <v>70</v>
      </c>
      <c r="B266" t="str">
        <f t="shared" ref="B266:C266" si="266">B256</f>
        <v>AI</v>
      </c>
      <c r="C266" t="str">
        <f t="shared" si="266"/>
        <v>Relevance</v>
      </c>
      <c r="D266">
        <v>2</v>
      </c>
    </row>
    <row r="267" spans="1:5">
      <c r="A267">
        <v>70</v>
      </c>
      <c r="B267" t="str">
        <f t="shared" ref="B267:C267" si="267">B257</f>
        <v>Therapist</v>
      </c>
      <c r="C267" t="str">
        <f t="shared" si="267"/>
        <v>Distress Check</v>
      </c>
      <c r="D267">
        <v>5</v>
      </c>
    </row>
    <row r="268" spans="1:5">
      <c r="A268">
        <v>70</v>
      </c>
      <c r="B268" t="str">
        <f t="shared" ref="B268:C268" si="268">B258</f>
        <v>Therapist</v>
      </c>
      <c r="C268" t="str">
        <f t="shared" si="268"/>
        <v>Writing Reflection</v>
      </c>
      <c r="D268">
        <v>3</v>
      </c>
    </row>
    <row r="269" spans="1:5">
      <c r="A269">
        <v>70</v>
      </c>
      <c r="B269" t="str">
        <f t="shared" ref="B269:C269" si="269">B259</f>
        <v>Therapist</v>
      </c>
      <c r="C269" t="str">
        <f t="shared" si="269"/>
        <v>Avoids Processing</v>
      </c>
      <c r="D269">
        <v>3</v>
      </c>
    </row>
    <row r="270" spans="1:5">
      <c r="A270">
        <v>70</v>
      </c>
      <c r="B270" t="str">
        <f t="shared" ref="B270:C270" si="270">B260</f>
        <v>Therapist</v>
      </c>
      <c r="C270" t="str">
        <f t="shared" si="270"/>
        <v>Appropriateness</v>
      </c>
      <c r="D270">
        <v>3</v>
      </c>
      <c r="E270" t="s">
        <v>66</v>
      </c>
    </row>
    <row r="271" spans="1:5">
      <c r="A271">
        <v>70</v>
      </c>
      <c r="B271" t="str">
        <f t="shared" ref="B271:C271" si="271">B261</f>
        <v>Therapist</v>
      </c>
      <c r="C271" t="str">
        <f t="shared" si="271"/>
        <v>Relevance</v>
      </c>
      <c r="D271">
        <v>3</v>
      </c>
    </row>
    <row r="272" spans="1:5">
      <c r="A272">
        <v>73</v>
      </c>
      <c r="B272" t="str">
        <f t="shared" ref="B272:C272" si="272">B262</f>
        <v>AI</v>
      </c>
      <c r="C272" t="str">
        <f t="shared" si="272"/>
        <v>Distress Check</v>
      </c>
      <c r="D272">
        <v>1</v>
      </c>
    </row>
    <row r="273" spans="1:5">
      <c r="A273">
        <v>73</v>
      </c>
      <c r="B273" t="str">
        <f t="shared" ref="B273:C273" si="273">B263</f>
        <v>AI</v>
      </c>
      <c r="C273" t="str">
        <f t="shared" si="273"/>
        <v>Writing Reflection</v>
      </c>
      <c r="D273">
        <v>2</v>
      </c>
    </row>
    <row r="274" spans="1:5">
      <c r="A274">
        <v>73</v>
      </c>
      <c r="B274" t="str">
        <f t="shared" ref="B274:C274" si="274">B264</f>
        <v>AI</v>
      </c>
      <c r="C274" t="str">
        <f t="shared" si="274"/>
        <v>Avoids Processing</v>
      </c>
      <c r="D274">
        <v>1</v>
      </c>
    </row>
    <row r="275" spans="1:5">
      <c r="A275">
        <v>73</v>
      </c>
      <c r="B275" t="str">
        <f t="shared" ref="B275:C275" si="275">B265</f>
        <v>AI</v>
      </c>
      <c r="C275" t="str">
        <f t="shared" si="275"/>
        <v>Appropriateness</v>
      </c>
      <c r="D275">
        <v>2</v>
      </c>
    </row>
    <row r="276" spans="1:5">
      <c r="A276">
        <v>73</v>
      </c>
      <c r="B276" t="str">
        <f t="shared" ref="B276:C276" si="276">B266</f>
        <v>AI</v>
      </c>
      <c r="C276" t="str">
        <f t="shared" si="276"/>
        <v>Relevance</v>
      </c>
      <c r="D276">
        <v>2</v>
      </c>
    </row>
    <row r="277" spans="1:5">
      <c r="A277">
        <v>73</v>
      </c>
      <c r="B277" t="str">
        <f t="shared" ref="B277:C277" si="277">B267</f>
        <v>Therapist</v>
      </c>
      <c r="C277" t="str">
        <f t="shared" si="277"/>
        <v>Distress Check</v>
      </c>
      <c r="D277">
        <v>4</v>
      </c>
      <c r="E277" t="s">
        <v>67</v>
      </c>
    </row>
    <row r="278" spans="1:5">
      <c r="A278">
        <v>73</v>
      </c>
      <c r="B278" t="str">
        <f t="shared" ref="B278:C278" si="278">B268</f>
        <v>Therapist</v>
      </c>
      <c r="C278" t="str">
        <f t="shared" si="278"/>
        <v>Writing Reflection</v>
      </c>
      <c r="D278">
        <v>4</v>
      </c>
    </row>
    <row r="279" spans="1:5">
      <c r="A279">
        <v>73</v>
      </c>
      <c r="B279" t="str">
        <f t="shared" ref="B279:C279" si="279">B269</f>
        <v>Therapist</v>
      </c>
      <c r="C279" t="str">
        <f t="shared" si="279"/>
        <v>Avoids Processing</v>
      </c>
      <c r="D279">
        <v>2</v>
      </c>
    </row>
    <row r="280" spans="1:5">
      <c r="A280">
        <v>73</v>
      </c>
      <c r="B280" t="str">
        <f t="shared" ref="B280:C280" si="280">B270</f>
        <v>Therapist</v>
      </c>
      <c r="C280" t="str">
        <f t="shared" si="280"/>
        <v>Appropriateness</v>
      </c>
      <c r="D280">
        <v>4</v>
      </c>
    </row>
    <row r="281" spans="1:5">
      <c r="A281">
        <v>73</v>
      </c>
      <c r="B281" t="str">
        <f t="shared" ref="B281:C281" si="281">B271</f>
        <v>Therapist</v>
      </c>
      <c r="C281" t="str">
        <f t="shared" si="281"/>
        <v>Relevance</v>
      </c>
      <c r="D281">
        <v>3</v>
      </c>
    </row>
    <row r="282" spans="1:5">
      <c r="A282">
        <v>76</v>
      </c>
      <c r="B282" t="str">
        <f t="shared" ref="B282:C282" si="282">B272</f>
        <v>AI</v>
      </c>
      <c r="C282" t="str">
        <f t="shared" si="282"/>
        <v>Distress Check</v>
      </c>
      <c r="D282">
        <v>1</v>
      </c>
    </row>
    <row r="283" spans="1:5">
      <c r="A283">
        <v>76</v>
      </c>
      <c r="B283" t="str">
        <f t="shared" ref="B283:C283" si="283">B273</f>
        <v>AI</v>
      </c>
      <c r="C283" t="str">
        <f t="shared" si="283"/>
        <v>Writing Reflection</v>
      </c>
      <c r="D283">
        <v>2</v>
      </c>
    </row>
    <row r="284" spans="1:5">
      <c r="A284">
        <v>76</v>
      </c>
      <c r="B284" t="str">
        <f t="shared" ref="B284:C284" si="284">B274</f>
        <v>AI</v>
      </c>
      <c r="C284" t="str">
        <f t="shared" si="284"/>
        <v>Avoids Processing</v>
      </c>
      <c r="D284">
        <v>1</v>
      </c>
    </row>
    <row r="285" spans="1:5">
      <c r="A285">
        <v>76</v>
      </c>
      <c r="B285" t="str">
        <f t="shared" ref="B285:C285" si="285">B275</f>
        <v>AI</v>
      </c>
      <c r="C285" t="str">
        <f t="shared" si="285"/>
        <v>Appropriateness</v>
      </c>
      <c r="D285">
        <v>2</v>
      </c>
    </row>
    <row r="286" spans="1:5">
      <c r="A286">
        <v>76</v>
      </c>
      <c r="B286" t="str">
        <f t="shared" ref="B286:C286" si="286">B276</f>
        <v>AI</v>
      </c>
      <c r="C286" t="str">
        <f t="shared" si="286"/>
        <v>Relevance</v>
      </c>
      <c r="D286">
        <v>2</v>
      </c>
    </row>
    <row r="287" spans="1:5">
      <c r="A287">
        <v>76</v>
      </c>
      <c r="B287" t="str">
        <f t="shared" ref="B287:C287" si="287">B277</f>
        <v>Therapist</v>
      </c>
      <c r="C287" t="str">
        <f t="shared" si="287"/>
        <v>Distress Check</v>
      </c>
      <c r="D287">
        <v>3</v>
      </c>
    </row>
    <row r="288" spans="1:5">
      <c r="A288">
        <v>76</v>
      </c>
      <c r="B288" t="str">
        <f t="shared" ref="B288:C288" si="288">B278</f>
        <v>Therapist</v>
      </c>
      <c r="C288" t="str">
        <f t="shared" si="288"/>
        <v>Writing Reflection</v>
      </c>
      <c r="D288">
        <v>4</v>
      </c>
    </row>
    <row r="289" spans="1:5">
      <c r="A289">
        <v>76</v>
      </c>
      <c r="B289" t="str">
        <f t="shared" ref="B289:C289" si="289">B279</f>
        <v>Therapist</v>
      </c>
      <c r="C289" t="str">
        <f t="shared" si="289"/>
        <v>Avoids Processing</v>
      </c>
      <c r="D289">
        <v>2</v>
      </c>
    </row>
    <row r="290" spans="1:5">
      <c r="A290">
        <v>76</v>
      </c>
      <c r="B290" t="str">
        <f t="shared" ref="B290:C290" si="290">B280</f>
        <v>Therapist</v>
      </c>
      <c r="C290" t="str">
        <f t="shared" si="290"/>
        <v>Appropriateness</v>
      </c>
      <c r="D290">
        <v>3</v>
      </c>
    </row>
    <row r="291" spans="1:5">
      <c r="A291">
        <v>76</v>
      </c>
      <c r="B291" t="str">
        <f t="shared" ref="B291:C291" si="291">B281</f>
        <v>Therapist</v>
      </c>
      <c r="C291" t="str">
        <f t="shared" si="291"/>
        <v>Relevance</v>
      </c>
      <c r="D291">
        <v>4</v>
      </c>
      <c r="E291" t="s">
        <v>68</v>
      </c>
    </row>
    <row r="292" spans="1:5">
      <c r="A292">
        <v>85</v>
      </c>
      <c r="B292" t="str">
        <f t="shared" ref="B292:C292" si="292">B282</f>
        <v>AI</v>
      </c>
      <c r="C292" t="str">
        <f t="shared" si="292"/>
        <v>Distress Check</v>
      </c>
      <c r="D292">
        <v>1</v>
      </c>
    </row>
    <row r="293" spans="1:5">
      <c r="A293">
        <v>85</v>
      </c>
      <c r="B293" t="str">
        <f t="shared" ref="B293:C293" si="293">B283</f>
        <v>AI</v>
      </c>
      <c r="C293" t="str">
        <f t="shared" si="293"/>
        <v>Writing Reflection</v>
      </c>
      <c r="D293">
        <v>2</v>
      </c>
    </row>
    <row r="294" spans="1:5">
      <c r="A294">
        <v>85</v>
      </c>
      <c r="B294" t="str">
        <f t="shared" ref="B294:C294" si="294">B284</f>
        <v>AI</v>
      </c>
      <c r="C294" t="str">
        <f t="shared" si="294"/>
        <v>Avoids Processing</v>
      </c>
      <c r="D294">
        <v>1</v>
      </c>
    </row>
    <row r="295" spans="1:5">
      <c r="A295">
        <v>85</v>
      </c>
      <c r="B295" t="str">
        <f t="shared" ref="B295:C295" si="295">B285</f>
        <v>AI</v>
      </c>
      <c r="C295" t="str">
        <f t="shared" si="295"/>
        <v>Appropriateness</v>
      </c>
      <c r="D295">
        <v>2</v>
      </c>
    </row>
    <row r="296" spans="1:5">
      <c r="A296">
        <v>85</v>
      </c>
      <c r="B296" t="str">
        <f t="shared" ref="B296:C296" si="296">B286</f>
        <v>AI</v>
      </c>
      <c r="C296" t="str">
        <f t="shared" si="296"/>
        <v>Relevance</v>
      </c>
      <c r="D296">
        <v>2</v>
      </c>
    </row>
    <row r="297" spans="1:5">
      <c r="A297">
        <v>85</v>
      </c>
      <c r="B297" t="str">
        <f t="shared" ref="B297:C297" si="297">B287</f>
        <v>Therapist</v>
      </c>
      <c r="C297" t="str">
        <f t="shared" si="297"/>
        <v>Distress Check</v>
      </c>
      <c r="D297">
        <v>5</v>
      </c>
      <c r="E297" s="7" t="s">
        <v>69</v>
      </c>
    </row>
    <row r="298" spans="1:5">
      <c r="A298">
        <v>85</v>
      </c>
      <c r="B298" t="str">
        <f t="shared" ref="B298:C298" si="298">B288</f>
        <v>Therapist</v>
      </c>
      <c r="C298" t="str">
        <f t="shared" si="298"/>
        <v>Writing Reflection</v>
      </c>
      <c r="D298">
        <v>5</v>
      </c>
      <c r="E298" s="7"/>
    </row>
    <row r="299" spans="1:5">
      <c r="A299">
        <v>85</v>
      </c>
      <c r="B299" t="str">
        <f t="shared" ref="B299:C299" si="299">B289</f>
        <v>Therapist</v>
      </c>
      <c r="C299" t="str">
        <f t="shared" si="299"/>
        <v>Avoids Processing</v>
      </c>
      <c r="D299">
        <v>2</v>
      </c>
      <c r="E299" s="7"/>
    </row>
    <row r="300" spans="1:5">
      <c r="A300">
        <v>85</v>
      </c>
      <c r="B300" t="str">
        <f t="shared" ref="B300:C300" si="300">B290</f>
        <v>Therapist</v>
      </c>
      <c r="C300" t="str">
        <f t="shared" si="300"/>
        <v>Appropriateness</v>
      </c>
      <c r="D300">
        <v>3</v>
      </c>
      <c r="E300" s="7"/>
    </row>
    <row r="301" spans="1:5">
      <c r="A301">
        <v>85</v>
      </c>
      <c r="B301" t="str">
        <f t="shared" ref="B301:C301" si="301">B291</f>
        <v>Therapist</v>
      </c>
      <c r="C301" t="str">
        <f t="shared" si="301"/>
        <v>Relevance</v>
      </c>
      <c r="D301">
        <v>5</v>
      </c>
      <c r="E301" s="7"/>
    </row>
    <row r="302" spans="1:5">
      <c r="A302">
        <v>87</v>
      </c>
      <c r="B302" t="str">
        <f t="shared" ref="B302:C302" si="302">B292</f>
        <v>AI</v>
      </c>
      <c r="C302" t="str">
        <f t="shared" si="302"/>
        <v>Distress Check</v>
      </c>
      <c r="D302">
        <v>2</v>
      </c>
    </row>
    <row r="303" spans="1:5">
      <c r="A303">
        <v>87</v>
      </c>
      <c r="B303" t="str">
        <f t="shared" ref="B303:C303" si="303">B293</f>
        <v>AI</v>
      </c>
      <c r="C303" t="str">
        <f t="shared" si="303"/>
        <v>Writing Reflection</v>
      </c>
      <c r="D303">
        <v>2</v>
      </c>
    </row>
    <row r="304" spans="1:5">
      <c r="A304">
        <v>87</v>
      </c>
      <c r="B304" t="str">
        <f t="shared" ref="B304:C304" si="304">B294</f>
        <v>AI</v>
      </c>
      <c r="C304" t="str">
        <f t="shared" si="304"/>
        <v>Avoids Processing</v>
      </c>
      <c r="D304">
        <v>1</v>
      </c>
    </row>
    <row r="305" spans="1:5">
      <c r="A305">
        <v>87</v>
      </c>
      <c r="B305" t="str">
        <f t="shared" ref="B305:C305" si="305">B295</f>
        <v>AI</v>
      </c>
      <c r="C305" t="str">
        <f t="shared" si="305"/>
        <v>Appropriateness</v>
      </c>
      <c r="D305">
        <v>3</v>
      </c>
    </row>
    <row r="306" spans="1:5">
      <c r="A306">
        <v>87</v>
      </c>
      <c r="B306" t="str">
        <f t="shared" ref="B306:C306" si="306">B296</f>
        <v>AI</v>
      </c>
      <c r="C306" t="str">
        <f t="shared" si="306"/>
        <v>Relevance</v>
      </c>
      <c r="D306">
        <v>2</v>
      </c>
    </row>
    <row r="307" spans="1:5">
      <c r="A307">
        <v>87</v>
      </c>
      <c r="B307" t="str">
        <f t="shared" ref="B307:C307" si="307">B297</f>
        <v>Therapist</v>
      </c>
      <c r="C307" t="str">
        <f t="shared" si="307"/>
        <v>Distress Check</v>
      </c>
      <c r="D307">
        <v>4</v>
      </c>
    </row>
    <row r="308" spans="1:5">
      <c r="A308">
        <v>87</v>
      </c>
      <c r="B308" t="str">
        <f t="shared" ref="B308:C308" si="308">B298</f>
        <v>Therapist</v>
      </c>
      <c r="C308" t="str">
        <f t="shared" si="308"/>
        <v>Writing Reflection</v>
      </c>
      <c r="D308">
        <v>3</v>
      </c>
    </row>
    <row r="309" spans="1:5">
      <c r="A309">
        <v>87</v>
      </c>
      <c r="B309" t="str">
        <f t="shared" ref="B309:C309" si="309">B299</f>
        <v>Therapist</v>
      </c>
      <c r="C309" t="str">
        <f t="shared" si="309"/>
        <v>Avoids Processing</v>
      </c>
      <c r="D309">
        <v>3</v>
      </c>
    </row>
    <row r="310" spans="1:5">
      <c r="A310">
        <v>87</v>
      </c>
      <c r="B310" t="str">
        <f t="shared" ref="B310:C310" si="310">B300</f>
        <v>Therapist</v>
      </c>
      <c r="C310" t="str">
        <f t="shared" si="310"/>
        <v>Appropriateness</v>
      </c>
      <c r="D310">
        <v>5</v>
      </c>
    </row>
    <row r="311" spans="1:5">
      <c r="A311">
        <v>87</v>
      </c>
      <c r="B311" t="str">
        <f t="shared" ref="B311:C311" si="311">B301</f>
        <v>Therapist</v>
      </c>
      <c r="C311" t="str">
        <f t="shared" si="311"/>
        <v>Relevance</v>
      </c>
      <c r="D311">
        <v>3</v>
      </c>
    </row>
    <row r="312" spans="1:5" ht="15" customHeight="1">
      <c r="A312">
        <v>88</v>
      </c>
      <c r="B312" t="str">
        <f t="shared" ref="B312:C312" si="312">B302</f>
        <v>AI</v>
      </c>
      <c r="C312" t="str">
        <f t="shared" si="312"/>
        <v>Distress Check</v>
      </c>
      <c r="D312">
        <v>1</v>
      </c>
    </row>
    <row r="313" spans="1:5">
      <c r="A313">
        <v>88</v>
      </c>
      <c r="B313" t="str">
        <f t="shared" ref="B313:C313" si="313">B303</f>
        <v>AI</v>
      </c>
      <c r="C313" t="str">
        <f t="shared" si="313"/>
        <v>Writing Reflection</v>
      </c>
      <c r="D313">
        <v>2</v>
      </c>
    </row>
    <row r="314" spans="1:5">
      <c r="A314">
        <v>88</v>
      </c>
      <c r="B314" t="str">
        <f t="shared" ref="B314:C314" si="314">B304</f>
        <v>AI</v>
      </c>
      <c r="C314" t="str">
        <f t="shared" si="314"/>
        <v>Avoids Processing</v>
      </c>
      <c r="D314">
        <v>1</v>
      </c>
    </row>
    <row r="315" spans="1:5">
      <c r="A315">
        <v>88</v>
      </c>
      <c r="B315" t="str">
        <f t="shared" ref="B315:C315" si="315">B305</f>
        <v>AI</v>
      </c>
      <c r="C315" t="str">
        <f t="shared" si="315"/>
        <v>Appropriateness</v>
      </c>
      <c r="D315">
        <v>1</v>
      </c>
      <c r="E315" t="s">
        <v>70</v>
      </c>
    </row>
    <row r="316" spans="1:5">
      <c r="A316">
        <v>88</v>
      </c>
      <c r="B316" t="str">
        <f t="shared" ref="B316:C316" si="316">B306</f>
        <v>AI</v>
      </c>
      <c r="C316" t="str">
        <f t="shared" si="316"/>
        <v>Relevance</v>
      </c>
      <c r="D316">
        <v>2</v>
      </c>
    </row>
    <row r="317" spans="1:5">
      <c r="A317">
        <v>88</v>
      </c>
      <c r="B317" t="str">
        <f t="shared" ref="B317:C317" si="317">B307</f>
        <v>Therapist</v>
      </c>
      <c r="C317" t="str">
        <f t="shared" si="317"/>
        <v>Distress Check</v>
      </c>
      <c r="D317">
        <v>4</v>
      </c>
    </row>
    <row r="318" spans="1:5">
      <c r="A318">
        <v>88</v>
      </c>
      <c r="B318" t="str">
        <f t="shared" ref="B318:C318" si="318">B308</f>
        <v>Therapist</v>
      </c>
      <c r="C318" t="str">
        <f t="shared" si="318"/>
        <v>Writing Reflection</v>
      </c>
      <c r="D318">
        <v>4</v>
      </c>
      <c r="E318" t="s">
        <v>71</v>
      </c>
    </row>
    <row r="319" spans="1:5">
      <c r="A319">
        <v>88</v>
      </c>
      <c r="B319" t="str">
        <f t="shared" ref="B319:C319" si="319">B309</f>
        <v>Therapist</v>
      </c>
      <c r="C319" t="str">
        <f t="shared" si="319"/>
        <v>Avoids Processing</v>
      </c>
      <c r="D319">
        <v>3</v>
      </c>
      <c r="E319" t="s">
        <v>72</v>
      </c>
    </row>
    <row r="320" spans="1:5">
      <c r="A320">
        <v>88</v>
      </c>
      <c r="B320" t="str">
        <f t="shared" ref="B320:C320" si="320">B310</f>
        <v>Therapist</v>
      </c>
      <c r="C320" t="str">
        <f t="shared" si="320"/>
        <v>Appropriateness</v>
      </c>
      <c r="D320">
        <v>5</v>
      </c>
    </row>
    <row r="321" spans="1:5">
      <c r="A321">
        <v>88</v>
      </c>
      <c r="B321" t="str">
        <f t="shared" ref="B321:C321" si="321">B311</f>
        <v>Therapist</v>
      </c>
      <c r="C321" t="str">
        <f t="shared" si="321"/>
        <v>Relevance</v>
      </c>
      <c r="D321">
        <v>4</v>
      </c>
    </row>
    <row r="322" spans="1:5">
      <c r="A322">
        <v>90</v>
      </c>
      <c r="B322" t="str">
        <f t="shared" ref="B322:C322" si="322">B312</f>
        <v>AI</v>
      </c>
      <c r="C322" t="str">
        <f t="shared" si="322"/>
        <v>Distress Check</v>
      </c>
      <c r="D322">
        <v>2</v>
      </c>
    </row>
    <row r="323" spans="1:5">
      <c r="A323">
        <v>90</v>
      </c>
      <c r="B323" t="str">
        <f t="shared" ref="B323:C323" si="323">B313</f>
        <v>AI</v>
      </c>
      <c r="C323" t="str">
        <f t="shared" si="323"/>
        <v>Writing Reflection</v>
      </c>
      <c r="D323">
        <v>2</v>
      </c>
    </row>
    <row r="324" spans="1:5">
      <c r="A324">
        <v>90</v>
      </c>
      <c r="B324" t="str">
        <f t="shared" ref="B324:C324" si="324">B314</f>
        <v>AI</v>
      </c>
      <c r="C324" t="str">
        <f t="shared" si="324"/>
        <v>Avoids Processing</v>
      </c>
      <c r="D324">
        <v>1</v>
      </c>
    </row>
    <row r="325" spans="1:5">
      <c r="A325">
        <v>90</v>
      </c>
      <c r="B325" t="str">
        <f t="shared" ref="B325:C325" si="325">B315</f>
        <v>AI</v>
      </c>
      <c r="C325" t="str">
        <f t="shared" si="325"/>
        <v>Appropriateness</v>
      </c>
      <c r="D325">
        <v>2</v>
      </c>
    </row>
    <row r="326" spans="1:5">
      <c r="A326">
        <v>90</v>
      </c>
      <c r="B326" t="str">
        <f t="shared" ref="B326:C326" si="326">B316</f>
        <v>AI</v>
      </c>
      <c r="C326" t="str">
        <f t="shared" si="326"/>
        <v>Relevance</v>
      </c>
      <c r="D326">
        <v>2</v>
      </c>
    </row>
    <row r="327" spans="1:5">
      <c r="A327">
        <v>90</v>
      </c>
      <c r="B327" t="str">
        <f t="shared" ref="B327:C327" si="327">B317</f>
        <v>Therapist</v>
      </c>
      <c r="C327" t="str">
        <f t="shared" si="327"/>
        <v>Distress Check</v>
      </c>
      <c r="D327">
        <v>3</v>
      </c>
    </row>
    <row r="328" spans="1:5">
      <c r="A328">
        <v>90</v>
      </c>
      <c r="B328" t="str">
        <f t="shared" ref="B328:C328" si="328">B318</f>
        <v>Therapist</v>
      </c>
      <c r="C328" t="str">
        <f t="shared" si="328"/>
        <v>Writing Reflection</v>
      </c>
      <c r="D328">
        <v>4</v>
      </c>
    </row>
    <row r="329" spans="1:5">
      <c r="A329">
        <v>90</v>
      </c>
      <c r="B329" t="str">
        <f t="shared" ref="B329:C329" si="329">B319</f>
        <v>Therapist</v>
      </c>
      <c r="C329" t="str">
        <f t="shared" si="329"/>
        <v>Avoids Processing</v>
      </c>
      <c r="D329">
        <v>3</v>
      </c>
    </row>
    <row r="330" spans="1:5">
      <c r="A330">
        <v>90</v>
      </c>
      <c r="B330" t="str">
        <f t="shared" ref="B330:C330" si="330">B320</f>
        <v>Therapist</v>
      </c>
      <c r="C330" t="str">
        <f t="shared" si="330"/>
        <v>Appropriateness</v>
      </c>
      <c r="D330">
        <v>5</v>
      </c>
    </row>
    <row r="331" spans="1:5">
      <c r="A331">
        <v>90</v>
      </c>
      <c r="B331" t="str">
        <f t="shared" ref="B331:C331" si="331">B321</f>
        <v>Therapist</v>
      </c>
      <c r="C331" t="str">
        <f t="shared" si="331"/>
        <v>Relevance</v>
      </c>
      <c r="D331">
        <v>3</v>
      </c>
    </row>
    <row r="332" spans="1:5">
      <c r="A332">
        <v>91</v>
      </c>
      <c r="B332" t="str">
        <f t="shared" ref="B332:C332" si="332">B322</f>
        <v>AI</v>
      </c>
      <c r="C332" t="str">
        <f t="shared" si="332"/>
        <v>Distress Check</v>
      </c>
      <c r="D332">
        <v>2</v>
      </c>
    </row>
    <row r="333" spans="1:5">
      <c r="A333">
        <v>91</v>
      </c>
      <c r="B333" t="str">
        <f t="shared" ref="B333:C333" si="333">B323</f>
        <v>AI</v>
      </c>
      <c r="C333" t="str">
        <f t="shared" si="333"/>
        <v>Writing Reflection</v>
      </c>
      <c r="D333">
        <v>2</v>
      </c>
    </row>
    <row r="334" spans="1:5">
      <c r="A334">
        <v>91</v>
      </c>
      <c r="B334" t="str">
        <f t="shared" ref="B334:C334" si="334">B324</f>
        <v>AI</v>
      </c>
      <c r="C334" t="str">
        <f t="shared" si="334"/>
        <v>Avoids Processing</v>
      </c>
      <c r="D334">
        <v>1</v>
      </c>
    </row>
    <row r="335" spans="1:5">
      <c r="A335">
        <v>91</v>
      </c>
      <c r="B335" t="str">
        <f t="shared" ref="B335:C335" si="335">B325</f>
        <v>AI</v>
      </c>
      <c r="C335" t="str">
        <f t="shared" si="335"/>
        <v>Appropriateness</v>
      </c>
      <c r="D335">
        <v>1</v>
      </c>
      <c r="E335" t="s">
        <v>73</v>
      </c>
    </row>
    <row r="336" spans="1:5">
      <c r="A336">
        <v>91</v>
      </c>
      <c r="B336" t="str">
        <f t="shared" ref="B336:C336" si="336">B326</f>
        <v>AI</v>
      </c>
      <c r="C336" t="str">
        <f t="shared" si="336"/>
        <v>Relevance</v>
      </c>
      <c r="D336">
        <v>2</v>
      </c>
    </row>
    <row r="337" spans="1:5">
      <c r="A337">
        <v>91</v>
      </c>
      <c r="B337" t="str">
        <f t="shared" ref="B337:C337" si="337">B327</f>
        <v>Therapist</v>
      </c>
      <c r="C337" t="str">
        <f t="shared" si="337"/>
        <v>Distress Check</v>
      </c>
      <c r="D337">
        <v>2</v>
      </c>
      <c r="E337" t="s">
        <v>74</v>
      </c>
    </row>
    <row r="338" spans="1:5">
      <c r="A338">
        <v>91</v>
      </c>
      <c r="B338" t="str">
        <f t="shared" ref="B338:C338" si="338">B328</f>
        <v>Therapist</v>
      </c>
      <c r="C338" t="str">
        <f t="shared" si="338"/>
        <v>Writing Reflection</v>
      </c>
      <c r="D338">
        <v>5</v>
      </c>
      <c r="E338" t="s">
        <v>75</v>
      </c>
    </row>
    <row r="339" spans="1:5">
      <c r="A339">
        <v>91</v>
      </c>
      <c r="B339" t="str">
        <f t="shared" ref="B339:C339" si="339">B329</f>
        <v>Therapist</v>
      </c>
      <c r="C339" t="str">
        <f t="shared" si="339"/>
        <v>Avoids Processing</v>
      </c>
      <c r="D339">
        <v>3</v>
      </c>
      <c r="E339" t="s">
        <v>76</v>
      </c>
    </row>
    <row r="340" spans="1:5">
      <c r="A340">
        <v>91</v>
      </c>
      <c r="B340" t="str">
        <f t="shared" ref="B340:C340" si="340">B330</f>
        <v>Therapist</v>
      </c>
      <c r="C340" t="str">
        <f t="shared" si="340"/>
        <v>Appropriateness</v>
      </c>
      <c r="D340">
        <v>3</v>
      </c>
      <c r="E340" t="s">
        <v>78</v>
      </c>
    </row>
    <row r="341" spans="1:5">
      <c r="A341">
        <v>91</v>
      </c>
      <c r="B341" t="str">
        <f t="shared" ref="B341:C341" si="341">B331</f>
        <v>Therapist</v>
      </c>
      <c r="C341" t="str">
        <f t="shared" si="341"/>
        <v>Relevance</v>
      </c>
      <c r="D341">
        <v>5</v>
      </c>
      <c r="E341" t="s">
        <v>77</v>
      </c>
    </row>
    <row r="342" spans="1:5">
      <c r="A342">
        <v>92</v>
      </c>
      <c r="B342" t="str">
        <f t="shared" ref="B342:C342" si="342">B332</f>
        <v>AI</v>
      </c>
      <c r="C342" t="str">
        <f t="shared" si="342"/>
        <v>Distress Check</v>
      </c>
      <c r="D342">
        <v>2</v>
      </c>
    </row>
    <row r="343" spans="1:5">
      <c r="A343">
        <v>92</v>
      </c>
      <c r="B343" t="str">
        <f t="shared" ref="B343:C343" si="343">B333</f>
        <v>AI</v>
      </c>
      <c r="C343" t="str">
        <f t="shared" si="343"/>
        <v>Writing Reflection</v>
      </c>
      <c r="D343">
        <v>2</v>
      </c>
    </row>
    <row r="344" spans="1:5">
      <c r="A344">
        <v>92</v>
      </c>
      <c r="B344" t="str">
        <f t="shared" ref="B344:C344" si="344">B334</f>
        <v>AI</v>
      </c>
      <c r="C344" t="str">
        <f t="shared" si="344"/>
        <v>Avoids Processing</v>
      </c>
      <c r="D344">
        <v>1</v>
      </c>
    </row>
    <row r="345" spans="1:5">
      <c r="A345">
        <v>92</v>
      </c>
      <c r="B345" t="str">
        <f t="shared" ref="B345:C345" si="345">B335</f>
        <v>AI</v>
      </c>
      <c r="C345" t="str">
        <f t="shared" si="345"/>
        <v>Appropriateness</v>
      </c>
      <c r="D345">
        <v>4</v>
      </c>
      <c r="E345" t="s">
        <v>79</v>
      </c>
    </row>
    <row r="346" spans="1:5">
      <c r="A346">
        <v>92</v>
      </c>
      <c r="B346" t="str">
        <f t="shared" ref="B346:C346" si="346">B336</f>
        <v>AI</v>
      </c>
      <c r="C346" t="str">
        <f t="shared" si="346"/>
        <v>Relevance</v>
      </c>
      <c r="D346">
        <v>2</v>
      </c>
    </row>
    <row r="347" spans="1:5">
      <c r="A347">
        <v>92</v>
      </c>
      <c r="B347" t="str">
        <f t="shared" ref="B347:C347" si="347">B337</f>
        <v>Therapist</v>
      </c>
      <c r="C347" t="str">
        <f t="shared" si="347"/>
        <v>Distress Check</v>
      </c>
      <c r="D347">
        <v>2</v>
      </c>
    </row>
    <row r="348" spans="1:5">
      <c r="A348">
        <v>92</v>
      </c>
      <c r="B348" t="str">
        <f t="shared" ref="B348:C348" si="348">B338</f>
        <v>Therapist</v>
      </c>
      <c r="C348" t="str">
        <f t="shared" si="348"/>
        <v>Writing Reflection</v>
      </c>
      <c r="D348">
        <v>3</v>
      </c>
    </row>
    <row r="349" spans="1:5">
      <c r="A349">
        <v>92</v>
      </c>
      <c r="B349" t="str">
        <f t="shared" ref="B349:C349" si="349">B339</f>
        <v>Therapist</v>
      </c>
      <c r="C349" t="str">
        <f t="shared" si="349"/>
        <v>Avoids Processing</v>
      </c>
      <c r="D349">
        <v>5</v>
      </c>
    </row>
    <row r="350" spans="1:5">
      <c r="A350">
        <v>92</v>
      </c>
      <c r="B350" t="str">
        <f t="shared" ref="B350:C350" si="350">B340</f>
        <v>Therapist</v>
      </c>
      <c r="C350" t="str">
        <f t="shared" si="350"/>
        <v>Appropriateness</v>
      </c>
      <c r="D350">
        <v>5</v>
      </c>
    </row>
    <row r="351" spans="1:5">
      <c r="A351">
        <v>92</v>
      </c>
      <c r="B351" t="str">
        <f t="shared" ref="B351:C351" si="351">B341</f>
        <v>Therapist</v>
      </c>
      <c r="C351" t="str">
        <f t="shared" si="351"/>
        <v>Relevance</v>
      </c>
      <c r="D351">
        <v>3</v>
      </c>
    </row>
    <row r="352" spans="1:5">
      <c r="A352">
        <v>96</v>
      </c>
      <c r="B352" t="str">
        <f t="shared" ref="B352:C352" si="352">B342</f>
        <v>AI</v>
      </c>
      <c r="C352" t="str">
        <f t="shared" si="352"/>
        <v>Distress Check</v>
      </c>
      <c r="D352">
        <v>2</v>
      </c>
    </row>
    <row r="353" spans="1:4">
      <c r="A353">
        <v>96</v>
      </c>
      <c r="B353" t="str">
        <f t="shared" ref="B353:C353" si="353">B343</f>
        <v>AI</v>
      </c>
      <c r="C353" t="str">
        <f t="shared" si="353"/>
        <v>Writing Reflection</v>
      </c>
      <c r="D353">
        <v>2</v>
      </c>
    </row>
    <row r="354" spans="1:4">
      <c r="A354">
        <v>96</v>
      </c>
      <c r="B354" t="str">
        <f t="shared" ref="B354:C354" si="354">B344</f>
        <v>AI</v>
      </c>
      <c r="C354" t="str">
        <f t="shared" si="354"/>
        <v>Avoids Processing</v>
      </c>
      <c r="D354">
        <v>1</v>
      </c>
    </row>
    <row r="355" spans="1:4">
      <c r="A355">
        <v>96</v>
      </c>
      <c r="B355" t="str">
        <f t="shared" ref="B355:C355" si="355">B345</f>
        <v>AI</v>
      </c>
      <c r="C355" t="str">
        <f t="shared" si="355"/>
        <v>Appropriateness</v>
      </c>
      <c r="D355">
        <v>2</v>
      </c>
    </row>
    <row r="356" spans="1:4">
      <c r="A356">
        <v>96</v>
      </c>
      <c r="B356" t="str">
        <f t="shared" ref="B356:C356" si="356">B346</f>
        <v>AI</v>
      </c>
      <c r="C356" t="str">
        <f t="shared" si="356"/>
        <v>Relevance</v>
      </c>
      <c r="D356">
        <v>2</v>
      </c>
    </row>
    <row r="357" spans="1:4">
      <c r="A357">
        <v>96</v>
      </c>
      <c r="B357" t="str">
        <f t="shared" ref="B357:C357" si="357">B347</f>
        <v>Therapist</v>
      </c>
      <c r="C357" t="str">
        <f t="shared" si="357"/>
        <v>Distress Check</v>
      </c>
      <c r="D357">
        <v>4</v>
      </c>
    </row>
    <row r="358" spans="1:4">
      <c r="A358">
        <v>96</v>
      </c>
      <c r="B358" t="str">
        <f t="shared" ref="B358:C358" si="358">B348</f>
        <v>Therapist</v>
      </c>
      <c r="C358" t="str">
        <f t="shared" si="358"/>
        <v>Writing Reflection</v>
      </c>
      <c r="D358">
        <v>4</v>
      </c>
    </row>
    <row r="359" spans="1:4">
      <c r="A359">
        <v>96</v>
      </c>
      <c r="B359" t="str">
        <f t="shared" ref="B359:C359" si="359">B349</f>
        <v>Therapist</v>
      </c>
      <c r="C359" t="str">
        <f t="shared" si="359"/>
        <v>Avoids Processing</v>
      </c>
      <c r="D359">
        <v>3</v>
      </c>
    </row>
    <row r="360" spans="1:4">
      <c r="A360">
        <v>96</v>
      </c>
      <c r="B360" t="str">
        <f t="shared" ref="B360:C360" si="360">B350</f>
        <v>Therapist</v>
      </c>
      <c r="C360" t="str">
        <f t="shared" si="360"/>
        <v>Appropriateness</v>
      </c>
      <c r="D360">
        <v>4</v>
      </c>
    </row>
    <row r="361" spans="1:4">
      <c r="A361">
        <v>96</v>
      </c>
      <c r="B361" t="str">
        <f t="shared" ref="B361:C361" si="361">B351</f>
        <v>Therapist</v>
      </c>
      <c r="C361" t="str">
        <f t="shared" si="361"/>
        <v>Relevance</v>
      </c>
      <c r="D361">
        <v>3</v>
      </c>
    </row>
    <row r="362" spans="1:4">
      <c r="A362">
        <v>97</v>
      </c>
      <c r="B362" t="str">
        <f t="shared" ref="B362:C362" si="362">B352</f>
        <v>AI</v>
      </c>
      <c r="C362" t="str">
        <f t="shared" si="362"/>
        <v>Distress Check</v>
      </c>
      <c r="D362">
        <v>3</v>
      </c>
    </row>
    <row r="363" spans="1:4">
      <c r="A363">
        <v>97</v>
      </c>
      <c r="B363" t="str">
        <f t="shared" ref="B363:C363" si="363">B353</f>
        <v>AI</v>
      </c>
      <c r="C363" t="str">
        <f t="shared" si="363"/>
        <v>Writing Reflection</v>
      </c>
      <c r="D363">
        <v>2</v>
      </c>
    </row>
    <row r="364" spans="1:4">
      <c r="A364">
        <v>97</v>
      </c>
      <c r="B364" t="str">
        <f t="shared" ref="B364:C364" si="364">B354</f>
        <v>AI</v>
      </c>
      <c r="C364" t="str">
        <f t="shared" si="364"/>
        <v>Avoids Processing</v>
      </c>
      <c r="D364">
        <v>1</v>
      </c>
    </row>
    <row r="365" spans="1:4">
      <c r="A365">
        <v>97</v>
      </c>
      <c r="B365" t="str">
        <f t="shared" ref="B365:C365" si="365">B355</f>
        <v>AI</v>
      </c>
      <c r="C365" t="str">
        <f t="shared" si="365"/>
        <v>Appropriateness</v>
      </c>
      <c r="D365">
        <v>2</v>
      </c>
    </row>
    <row r="366" spans="1:4">
      <c r="A366">
        <v>97</v>
      </c>
      <c r="B366" t="str">
        <f t="shared" ref="B366:C366" si="366">B356</f>
        <v>AI</v>
      </c>
      <c r="C366" t="str">
        <f t="shared" si="366"/>
        <v>Relevance</v>
      </c>
      <c r="D366">
        <v>2</v>
      </c>
    </row>
    <row r="367" spans="1:4">
      <c r="A367">
        <v>97</v>
      </c>
      <c r="B367" t="str">
        <f t="shared" ref="B367:C367" si="367">B357</f>
        <v>Therapist</v>
      </c>
      <c r="C367" t="str">
        <f t="shared" si="367"/>
        <v>Distress Check</v>
      </c>
      <c r="D367">
        <v>4</v>
      </c>
    </row>
    <row r="368" spans="1:4">
      <c r="A368">
        <v>97</v>
      </c>
      <c r="B368" t="str">
        <f t="shared" ref="B368:C368" si="368">B358</f>
        <v>Therapist</v>
      </c>
      <c r="C368" t="str">
        <f t="shared" si="368"/>
        <v>Writing Reflection</v>
      </c>
      <c r="D368">
        <v>3</v>
      </c>
    </row>
    <row r="369" spans="1:4">
      <c r="A369">
        <v>97</v>
      </c>
      <c r="B369" t="str">
        <f t="shared" ref="B369:C369" si="369">B359</f>
        <v>Therapist</v>
      </c>
      <c r="C369" t="str">
        <f t="shared" si="369"/>
        <v>Avoids Processing</v>
      </c>
      <c r="D369">
        <v>5</v>
      </c>
    </row>
    <row r="370" spans="1:4">
      <c r="A370">
        <v>97</v>
      </c>
      <c r="B370" t="str">
        <f t="shared" ref="B370:C370" si="370">B360</f>
        <v>Therapist</v>
      </c>
      <c r="C370" t="str">
        <f t="shared" si="370"/>
        <v>Appropriateness</v>
      </c>
      <c r="D370">
        <v>4</v>
      </c>
    </row>
    <row r="371" spans="1:4">
      <c r="A371">
        <v>97</v>
      </c>
      <c r="B371" t="str">
        <f t="shared" ref="B371:C371" si="371">B361</f>
        <v>Therapist</v>
      </c>
      <c r="C371" t="str">
        <f t="shared" si="371"/>
        <v>Relevance</v>
      </c>
      <c r="D371">
        <v>4</v>
      </c>
    </row>
    <row r="372" spans="1:4">
      <c r="A372">
        <v>101</v>
      </c>
      <c r="B372" t="str">
        <f t="shared" ref="B372:C372" si="372">B362</f>
        <v>AI</v>
      </c>
      <c r="C372" t="str">
        <f t="shared" si="372"/>
        <v>Distress Check</v>
      </c>
      <c r="D372">
        <v>3</v>
      </c>
    </row>
    <row r="373" spans="1:4">
      <c r="A373">
        <v>101</v>
      </c>
      <c r="B373" t="str">
        <f t="shared" ref="B373:C373" si="373">B363</f>
        <v>AI</v>
      </c>
      <c r="C373" t="str">
        <f t="shared" si="373"/>
        <v>Writing Reflection</v>
      </c>
      <c r="D373">
        <v>2</v>
      </c>
    </row>
    <row r="374" spans="1:4">
      <c r="A374">
        <v>101</v>
      </c>
      <c r="B374" t="str">
        <f t="shared" ref="B374:C374" si="374">B364</f>
        <v>AI</v>
      </c>
      <c r="C374" t="str">
        <f t="shared" si="374"/>
        <v>Avoids Processing</v>
      </c>
      <c r="D374">
        <v>1</v>
      </c>
    </row>
    <row r="375" spans="1:4">
      <c r="A375">
        <v>101</v>
      </c>
      <c r="B375" t="str">
        <f t="shared" ref="B375:C375" si="375">B365</f>
        <v>AI</v>
      </c>
      <c r="C375" t="str">
        <f t="shared" si="375"/>
        <v>Appropriateness</v>
      </c>
      <c r="D375">
        <v>2</v>
      </c>
    </row>
    <row r="376" spans="1:4">
      <c r="A376">
        <v>101</v>
      </c>
      <c r="B376" t="str">
        <f t="shared" ref="B376:C376" si="376">B366</f>
        <v>AI</v>
      </c>
      <c r="C376" t="str">
        <f t="shared" si="376"/>
        <v>Relevance</v>
      </c>
      <c r="D376">
        <v>2</v>
      </c>
    </row>
    <row r="377" spans="1:4">
      <c r="A377">
        <v>101</v>
      </c>
      <c r="B377" t="str">
        <f t="shared" ref="B377:C377" si="377">B367</f>
        <v>Therapist</v>
      </c>
      <c r="C377" t="str">
        <f t="shared" si="377"/>
        <v>Distress Check</v>
      </c>
      <c r="D377">
        <v>5</v>
      </c>
    </row>
    <row r="378" spans="1:4">
      <c r="A378">
        <v>101</v>
      </c>
      <c r="B378" t="str">
        <f t="shared" ref="B378:C378" si="378">B368</f>
        <v>Therapist</v>
      </c>
      <c r="C378" t="str">
        <f t="shared" si="378"/>
        <v>Writing Reflection</v>
      </c>
      <c r="D378">
        <v>5</v>
      </c>
    </row>
    <row r="379" spans="1:4">
      <c r="A379">
        <v>101</v>
      </c>
      <c r="B379" t="str">
        <f t="shared" ref="B379:C379" si="379">B369</f>
        <v>Therapist</v>
      </c>
      <c r="C379" t="str">
        <f t="shared" si="379"/>
        <v>Avoids Processing</v>
      </c>
      <c r="D379">
        <v>3</v>
      </c>
    </row>
    <row r="380" spans="1:4">
      <c r="A380">
        <v>101</v>
      </c>
      <c r="B380" t="str">
        <f t="shared" ref="B380:C380" si="380">B370</f>
        <v>Therapist</v>
      </c>
      <c r="C380" t="str">
        <f t="shared" si="380"/>
        <v>Appropriateness</v>
      </c>
      <c r="D380">
        <v>5</v>
      </c>
    </row>
    <row r="381" spans="1:4">
      <c r="A381">
        <v>101</v>
      </c>
      <c r="B381" t="str">
        <f t="shared" ref="B381:C381" si="381">B371</f>
        <v>Therapist</v>
      </c>
      <c r="C381" t="str">
        <f t="shared" si="381"/>
        <v>Relevance</v>
      </c>
      <c r="D381">
        <v>4</v>
      </c>
    </row>
    <row r="382" spans="1:4">
      <c r="A382">
        <v>102</v>
      </c>
      <c r="B382" t="str">
        <f t="shared" ref="B382:C382" si="382">B372</f>
        <v>AI</v>
      </c>
      <c r="C382" t="str">
        <f t="shared" si="382"/>
        <v>Distress Check</v>
      </c>
      <c r="D382">
        <v>1</v>
      </c>
    </row>
    <row r="383" spans="1:4">
      <c r="A383">
        <v>102</v>
      </c>
      <c r="B383" t="str">
        <f t="shared" ref="B383:C383" si="383">B373</f>
        <v>AI</v>
      </c>
      <c r="C383" t="str">
        <f t="shared" si="383"/>
        <v>Writing Reflection</v>
      </c>
      <c r="D383">
        <v>2</v>
      </c>
    </row>
    <row r="384" spans="1:4">
      <c r="A384">
        <v>102</v>
      </c>
      <c r="B384" t="str">
        <f t="shared" ref="B384:C384" si="384">B374</f>
        <v>AI</v>
      </c>
      <c r="C384" t="str">
        <f t="shared" si="384"/>
        <v>Avoids Processing</v>
      </c>
      <c r="D384">
        <v>1</v>
      </c>
    </row>
    <row r="385" spans="1:4">
      <c r="A385">
        <v>102</v>
      </c>
      <c r="B385" t="str">
        <f t="shared" ref="B385:C385" si="385">B375</f>
        <v>AI</v>
      </c>
      <c r="C385" t="str">
        <f t="shared" si="385"/>
        <v>Appropriateness</v>
      </c>
      <c r="D385">
        <v>2</v>
      </c>
    </row>
    <row r="386" spans="1:4">
      <c r="A386">
        <v>102</v>
      </c>
      <c r="B386" t="str">
        <f t="shared" ref="B386:C386" si="386">B376</f>
        <v>AI</v>
      </c>
      <c r="C386" t="str">
        <f t="shared" si="386"/>
        <v>Relevance</v>
      </c>
      <c r="D386">
        <v>2</v>
      </c>
    </row>
    <row r="387" spans="1:4">
      <c r="A387">
        <v>102</v>
      </c>
      <c r="B387" t="str">
        <f t="shared" ref="B387:C387" si="387">B377</f>
        <v>Therapist</v>
      </c>
      <c r="C387" t="str">
        <f t="shared" si="387"/>
        <v>Distress Check</v>
      </c>
      <c r="D387">
        <v>3</v>
      </c>
    </row>
    <row r="388" spans="1:4">
      <c r="A388">
        <v>102</v>
      </c>
      <c r="B388" t="str">
        <f t="shared" ref="B388:C388" si="388">B378</f>
        <v>Therapist</v>
      </c>
      <c r="C388" t="str">
        <f t="shared" si="388"/>
        <v>Writing Reflection</v>
      </c>
      <c r="D388">
        <v>3</v>
      </c>
    </row>
    <row r="389" spans="1:4">
      <c r="A389">
        <v>102</v>
      </c>
      <c r="B389" t="str">
        <f t="shared" ref="B389:C389" si="389">B379</f>
        <v>Therapist</v>
      </c>
      <c r="C389" t="str">
        <f t="shared" si="389"/>
        <v>Avoids Processing</v>
      </c>
      <c r="D389">
        <v>3</v>
      </c>
    </row>
    <row r="390" spans="1:4">
      <c r="A390">
        <v>102</v>
      </c>
      <c r="B390" t="str">
        <f t="shared" ref="B390:C390" si="390">B380</f>
        <v>Therapist</v>
      </c>
      <c r="C390" t="str">
        <f t="shared" si="390"/>
        <v>Appropriateness</v>
      </c>
      <c r="D390">
        <v>3</v>
      </c>
    </row>
    <row r="391" spans="1:4">
      <c r="A391">
        <v>102</v>
      </c>
      <c r="B391" t="str">
        <f t="shared" ref="B391:C391" si="391">B381</f>
        <v>Therapist</v>
      </c>
      <c r="C391" t="str">
        <f t="shared" si="391"/>
        <v>Relevance</v>
      </c>
      <c r="D391">
        <v>3</v>
      </c>
    </row>
    <row r="392" spans="1:4">
      <c r="A392" s="6">
        <v>115</v>
      </c>
      <c r="B392" t="str">
        <f t="shared" ref="B392:C392" si="392">B382</f>
        <v>AI</v>
      </c>
      <c r="C392" t="str">
        <f t="shared" si="392"/>
        <v>Distress Check</v>
      </c>
      <c r="D392">
        <v>1</v>
      </c>
    </row>
    <row r="393" spans="1:4">
      <c r="A393" s="6">
        <v>115</v>
      </c>
      <c r="B393" t="str">
        <f t="shared" ref="B393:C393" si="393">B383</f>
        <v>AI</v>
      </c>
      <c r="C393" t="str">
        <f t="shared" si="393"/>
        <v>Writing Reflection</v>
      </c>
      <c r="D393">
        <v>2</v>
      </c>
    </row>
    <row r="394" spans="1:4">
      <c r="A394" s="6">
        <v>115</v>
      </c>
      <c r="B394" t="str">
        <f t="shared" ref="B394:C394" si="394">B384</f>
        <v>AI</v>
      </c>
      <c r="C394" t="str">
        <f t="shared" si="394"/>
        <v>Avoids Processing</v>
      </c>
      <c r="D394">
        <v>1</v>
      </c>
    </row>
    <row r="395" spans="1:4">
      <c r="A395" s="6">
        <v>115</v>
      </c>
      <c r="B395" t="str">
        <f t="shared" ref="B395:C395" si="395">B385</f>
        <v>AI</v>
      </c>
      <c r="C395" t="str">
        <f t="shared" si="395"/>
        <v>Appropriateness</v>
      </c>
      <c r="D395">
        <v>2</v>
      </c>
    </row>
    <row r="396" spans="1:4">
      <c r="A396" s="6">
        <v>115</v>
      </c>
      <c r="B396" t="str">
        <f t="shared" ref="B396:C396" si="396">B386</f>
        <v>AI</v>
      </c>
      <c r="C396" t="str">
        <f t="shared" si="396"/>
        <v>Relevance</v>
      </c>
      <c r="D396">
        <v>2</v>
      </c>
    </row>
    <row r="397" spans="1:4">
      <c r="A397" s="6">
        <v>115</v>
      </c>
      <c r="B397" t="str">
        <f t="shared" ref="B397:C397" si="397">B387</f>
        <v>Therapist</v>
      </c>
      <c r="C397" t="str">
        <f t="shared" si="397"/>
        <v>Distress Check</v>
      </c>
      <c r="D397">
        <v>3</v>
      </c>
    </row>
    <row r="398" spans="1:4">
      <c r="A398" s="6">
        <v>115</v>
      </c>
      <c r="B398" t="str">
        <f t="shared" ref="B398:C398" si="398">B388</f>
        <v>Therapist</v>
      </c>
      <c r="C398" t="str">
        <f t="shared" si="398"/>
        <v>Writing Reflection</v>
      </c>
      <c r="D398">
        <v>3</v>
      </c>
    </row>
    <row r="399" spans="1:4">
      <c r="A399" s="6">
        <v>115</v>
      </c>
      <c r="B399" t="str">
        <f t="shared" ref="B399:C399" si="399">B389</f>
        <v>Therapist</v>
      </c>
      <c r="C399" t="str">
        <f t="shared" si="399"/>
        <v>Avoids Processing</v>
      </c>
      <c r="D399">
        <v>2</v>
      </c>
    </row>
    <row r="400" spans="1:4">
      <c r="A400" s="6">
        <v>115</v>
      </c>
      <c r="B400" t="str">
        <f t="shared" ref="B400:C400" si="400">B390</f>
        <v>Therapist</v>
      </c>
      <c r="C400" t="str">
        <f t="shared" si="400"/>
        <v>Appropriateness</v>
      </c>
      <c r="D400">
        <v>3</v>
      </c>
    </row>
    <row r="401" spans="1:5">
      <c r="A401" s="6">
        <v>115</v>
      </c>
      <c r="B401" t="str">
        <f t="shared" ref="B401:C401" si="401">B391</f>
        <v>Therapist</v>
      </c>
      <c r="C401" t="str">
        <f t="shared" si="401"/>
        <v>Relevance</v>
      </c>
      <c r="D401">
        <v>2</v>
      </c>
    </row>
    <row r="402" spans="1:5">
      <c r="A402">
        <v>116</v>
      </c>
      <c r="B402" t="str">
        <f t="shared" ref="B402:C402" si="402">B392</f>
        <v>AI</v>
      </c>
      <c r="C402" t="str">
        <f t="shared" si="402"/>
        <v>Distress Check</v>
      </c>
      <c r="D402">
        <v>1</v>
      </c>
    </row>
    <row r="403" spans="1:5">
      <c r="A403">
        <v>116</v>
      </c>
      <c r="B403" t="str">
        <f t="shared" ref="B403:C403" si="403">B393</f>
        <v>AI</v>
      </c>
      <c r="C403" t="str">
        <f t="shared" si="403"/>
        <v>Writing Reflection</v>
      </c>
      <c r="D403">
        <v>2</v>
      </c>
    </row>
    <row r="404" spans="1:5">
      <c r="A404">
        <v>116</v>
      </c>
      <c r="B404" t="str">
        <f t="shared" ref="B404:C404" si="404">B394</f>
        <v>AI</v>
      </c>
      <c r="C404" t="str">
        <f t="shared" si="404"/>
        <v>Avoids Processing</v>
      </c>
      <c r="D404">
        <v>1</v>
      </c>
    </row>
    <row r="405" spans="1:5">
      <c r="A405">
        <v>116</v>
      </c>
      <c r="B405" t="str">
        <f t="shared" ref="B405:C405" si="405">B395</f>
        <v>AI</v>
      </c>
      <c r="C405" t="str">
        <f t="shared" si="405"/>
        <v>Appropriateness</v>
      </c>
      <c r="D405">
        <v>2</v>
      </c>
      <c r="E405" t="s">
        <v>80</v>
      </c>
    </row>
    <row r="406" spans="1:5">
      <c r="A406">
        <v>116</v>
      </c>
      <c r="B406" t="str">
        <f t="shared" ref="B406:C406" si="406">B396</f>
        <v>AI</v>
      </c>
      <c r="C406" t="str">
        <f t="shared" si="406"/>
        <v>Relevance</v>
      </c>
      <c r="D406">
        <v>2</v>
      </c>
    </row>
    <row r="407" spans="1:5">
      <c r="A407">
        <v>116</v>
      </c>
      <c r="B407" t="str">
        <f t="shared" ref="B407:C407" si="407">B397</f>
        <v>Therapist</v>
      </c>
      <c r="C407" t="str">
        <f t="shared" si="407"/>
        <v>Distress Check</v>
      </c>
      <c r="D407">
        <v>2</v>
      </c>
      <c r="E407" t="s">
        <v>81</v>
      </c>
    </row>
    <row r="408" spans="1:5">
      <c r="A408">
        <v>116</v>
      </c>
      <c r="B408" t="str">
        <f t="shared" ref="B408:C408" si="408">B398</f>
        <v>Therapist</v>
      </c>
      <c r="C408" t="str">
        <f t="shared" si="408"/>
        <v>Writing Reflection</v>
      </c>
      <c r="D408">
        <v>4</v>
      </c>
      <c r="E408" t="s">
        <v>83</v>
      </c>
    </row>
    <row r="409" spans="1:5">
      <c r="A409">
        <v>116</v>
      </c>
      <c r="B409" t="str">
        <f t="shared" ref="B409:C409" si="409">B399</f>
        <v>Therapist</v>
      </c>
      <c r="C409" t="str">
        <f t="shared" si="409"/>
        <v>Avoids Processing</v>
      </c>
      <c r="D409">
        <v>5</v>
      </c>
      <c r="E409" t="s">
        <v>82</v>
      </c>
    </row>
    <row r="410" spans="1:5">
      <c r="A410">
        <v>116</v>
      </c>
      <c r="B410" t="str">
        <f t="shared" ref="B410:C410" si="410">B400</f>
        <v>Therapist</v>
      </c>
      <c r="C410" t="str">
        <f t="shared" si="410"/>
        <v>Appropriateness</v>
      </c>
      <c r="D410">
        <v>5</v>
      </c>
    </row>
    <row r="411" spans="1:5">
      <c r="A411">
        <v>116</v>
      </c>
      <c r="B411" t="str">
        <f t="shared" ref="B411:C411" si="411">B401</f>
        <v>Therapist</v>
      </c>
      <c r="C411" t="str">
        <f t="shared" si="411"/>
        <v>Relevance</v>
      </c>
      <c r="D411">
        <v>4</v>
      </c>
      <c r="E411" t="s">
        <v>84</v>
      </c>
    </row>
    <row r="412" spans="1:5">
      <c r="A412">
        <v>120</v>
      </c>
      <c r="B412" t="str">
        <f t="shared" ref="B412:C412" si="412">B402</f>
        <v>AI</v>
      </c>
      <c r="C412" t="str">
        <f t="shared" si="412"/>
        <v>Distress Check</v>
      </c>
      <c r="D412">
        <v>2</v>
      </c>
    </row>
    <row r="413" spans="1:5">
      <c r="A413">
        <v>120</v>
      </c>
      <c r="B413" t="str">
        <f t="shared" ref="B413:C413" si="413">B403</f>
        <v>AI</v>
      </c>
      <c r="C413" t="str">
        <f t="shared" si="413"/>
        <v>Writing Reflection</v>
      </c>
      <c r="D413">
        <v>2</v>
      </c>
    </row>
    <row r="414" spans="1:5">
      <c r="A414">
        <v>120</v>
      </c>
      <c r="B414" t="str">
        <f t="shared" ref="B414:C414" si="414">B404</f>
        <v>AI</v>
      </c>
      <c r="C414" t="str">
        <f t="shared" si="414"/>
        <v>Avoids Processing</v>
      </c>
      <c r="D414">
        <v>1</v>
      </c>
    </row>
    <row r="415" spans="1:5">
      <c r="A415">
        <v>120</v>
      </c>
      <c r="B415" t="str">
        <f t="shared" ref="B415:C415" si="415">B405</f>
        <v>AI</v>
      </c>
      <c r="C415" t="str">
        <f t="shared" si="415"/>
        <v>Appropriateness</v>
      </c>
      <c r="D415">
        <v>2</v>
      </c>
    </row>
    <row r="416" spans="1:5">
      <c r="A416">
        <v>120</v>
      </c>
      <c r="B416" t="str">
        <f t="shared" ref="B416:C416" si="416">B406</f>
        <v>AI</v>
      </c>
      <c r="C416" t="str">
        <f t="shared" si="416"/>
        <v>Relevance</v>
      </c>
      <c r="D416">
        <v>2</v>
      </c>
    </row>
    <row r="417" spans="1:5">
      <c r="A417">
        <v>120</v>
      </c>
      <c r="B417" t="str">
        <f t="shared" ref="B417:C417" si="417">B407</f>
        <v>Therapist</v>
      </c>
      <c r="C417" t="str">
        <f t="shared" si="417"/>
        <v>Distress Check</v>
      </c>
      <c r="D417">
        <v>5</v>
      </c>
    </row>
    <row r="418" spans="1:5">
      <c r="A418">
        <v>120</v>
      </c>
      <c r="B418" t="str">
        <f t="shared" ref="B418:C418" si="418">B408</f>
        <v>Therapist</v>
      </c>
      <c r="C418" t="str">
        <f t="shared" si="418"/>
        <v>Writing Reflection</v>
      </c>
      <c r="D418">
        <v>5</v>
      </c>
    </row>
    <row r="419" spans="1:5">
      <c r="A419">
        <v>120</v>
      </c>
      <c r="B419" t="str">
        <f t="shared" ref="B419:C419" si="419">B409</f>
        <v>Therapist</v>
      </c>
      <c r="C419" t="str">
        <f t="shared" si="419"/>
        <v>Avoids Processing</v>
      </c>
      <c r="D419">
        <v>5</v>
      </c>
    </row>
    <row r="420" spans="1:5">
      <c r="A420">
        <v>120</v>
      </c>
      <c r="B420" t="str">
        <f t="shared" ref="B420:C420" si="420">B410</f>
        <v>Therapist</v>
      </c>
      <c r="C420" t="str">
        <f t="shared" si="420"/>
        <v>Appropriateness</v>
      </c>
      <c r="D420">
        <v>5</v>
      </c>
    </row>
    <row r="421" spans="1:5">
      <c r="A421">
        <v>120</v>
      </c>
      <c r="B421" t="str">
        <f t="shared" ref="B421:C421" si="421">B411</f>
        <v>Therapist</v>
      </c>
      <c r="C421" t="str">
        <f t="shared" si="421"/>
        <v>Relevance</v>
      </c>
      <c r="D421">
        <v>5</v>
      </c>
    </row>
    <row r="422" spans="1:5">
      <c r="A422">
        <v>121</v>
      </c>
      <c r="B422" t="str">
        <f t="shared" ref="B422:C422" si="422">B412</f>
        <v>AI</v>
      </c>
      <c r="C422" t="str">
        <f t="shared" si="422"/>
        <v>Distress Check</v>
      </c>
      <c r="D422">
        <v>2</v>
      </c>
    </row>
    <row r="423" spans="1:5">
      <c r="A423">
        <v>121</v>
      </c>
      <c r="B423" t="str">
        <f t="shared" ref="B423:C423" si="423">B413</f>
        <v>AI</v>
      </c>
      <c r="C423" t="str">
        <f t="shared" si="423"/>
        <v>Writing Reflection</v>
      </c>
      <c r="D423">
        <v>2</v>
      </c>
    </row>
    <row r="424" spans="1:5">
      <c r="A424">
        <v>121</v>
      </c>
      <c r="B424" t="str">
        <f t="shared" ref="B424:C424" si="424">B414</f>
        <v>AI</v>
      </c>
      <c r="C424" t="str">
        <f t="shared" si="424"/>
        <v>Avoids Processing</v>
      </c>
      <c r="D424">
        <v>1</v>
      </c>
    </row>
    <row r="425" spans="1:5">
      <c r="A425">
        <v>121</v>
      </c>
      <c r="B425" t="str">
        <f t="shared" ref="B425:C425" si="425">B415</f>
        <v>AI</v>
      </c>
      <c r="C425" t="str">
        <f t="shared" si="425"/>
        <v>Appropriateness</v>
      </c>
      <c r="D425">
        <v>3</v>
      </c>
    </row>
    <row r="426" spans="1:5">
      <c r="A426">
        <v>121</v>
      </c>
      <c r="B426" t="str">
        <f t="shared" ref="B426:C426" si="426">B416</f>
        <v>AI</v>
      </c>
      <c r="C426" t="str">
        <f t="shared" si="426"/>
        <v>Relevance</v>
      </c>
      <c r="D426">
        <v>2</v>
      </c>
    </row>
    <row r="427" spans="1:5">
      <c r="A427">
        <v>121</v>
      </c>
      <c r="B427" t="str">
        <f t="shared" ref="B427:C427" si="427">B417</f>
        <v>Therapist</v>
      </c>
      <c r="C427" t="str">
        <f t="shared" si="427"/>
        <v>Distress Check</v>
      </c>
      <c r="D427">
        <v>4</v>
      </c>
    </row>
    <row r="428" spans="1:5">
      <c r="A428">
        <v>121</v>
      </c>
      <c r="B428" t="str">
        <f t="shared" ref="B428:C428" si="428">B418</f>
        <v>Therapist</v>
      </c>
      <c r="C428" t="str">
        <f t="shared" si="428"/>
        <v>Writing Reflection</v>
      </c>
      <c r="D428">
        <v>5</v>
      </c>
    </row>
    <row r="429" spans="1:5">
      <c r="A429">
        <v>121</v>
      </c>
      <c r="B429" t="str">
        <f t="shared" ref="B429:C429" si="429">B419</f>
        <v>Therapist</v>
      </c>
      <c r="C429" t="str">
        <f t="shared" si="429"/>
        <v>Avoids Processing</v>
      </c>
      <c r="D429">
        <v>4</v>
      </c>
      <c r="E429" t="s">
        <v>85</v>
      </c>
    </row>
    <row r="430" spans="1:5">
      <c r="A430">
        <v>121</v>
      </c>
      <c r="B430" t="str">
        <f t="shared" ref="B430:C430" si="430">B420</f>
        <v>Therapist</v>
      </c>
      <c r="C430" t="str">
        <f t="shared" si="430"/>
        <v>Appropriateness</v>
      </c>
      <c r="D430">
        <v>5</v>
      </c>
    </row>
    <row r="431" spans="1:5">
      <c r="A431">
        <v>121</v>
      </c>
      <c r="B431" t="str">
        <f t="shared" ref="B431:C431" si="431">B421</f>
        <v>Therapist</v>
      </c>
      <c r="C431" t="str">
        <f t="shared" si="431"/>
        <v>Relevance</v>
      </c>
      <c r="D431">
        <v>3</v>
      </c>
      <c r="E431" t="s">
        <v>86</v>
      </c>
    </row>
    <row r="432" spans="1:5">
      <c r="A432">
        <v>124</v>
      </c>
      <c r="B432" t="str">
        <f t="shared" ref="B432:C432" si="432">B422</f>
        <v>AI</v>
      </c>
      <c r="C432" t="str">
        <f t="shared" si="432"/>
        <v>Distress Check</v>
      </c>
      <c r="D432">
        <v>2</v>
      </c>
    </row>
    <row r="433" spans="1:5">
      <c r="A433">
        <v>124</v>
      </c>
      <c r="B433" t="str">
        <f t="shared" ref="B433:C433" si="433">B423</f>
        <v>AI</v>
      </c>
      <c r="C433" t="str">
        <f t="shared" si="433"/>
        <v>Writing Reflection</v>
      </c>
      <c r="D433">
        <v>2</v>
      </c>
    </row>
    <row r="434" spans="1:5">
      <c r="A434">
        <v>124</v>
      </c>
      <c r="B434" t="str">
        <f t="shared" ref="B434:C434" si="434">B424</f>
        <v>AI</v>
      </c>
      <c r="C434" t="str">
        <f t="shared" si="434"/>
        <v>Avoids Processing</v>
      </c>
      <c r="D434">
        <v>1</v>
      </c>
    </row>
    <row r="435" spans="1:5">
      <c r="A435">
        <v>124</v>
      </c>
      <c r="B435" t="str">
        <f t="shared" ref="B435:C435" si="435">B425</f>
        <v>AI</v>
      </c>
      <c r="C435" t="str">
        <f t="shared" si="435"/>
        <v>Appropriateness</v>
      </c>
      <c r="D435">
        <v>2</v>
      </c>
    </row>
    <row r="436" spans="1:5">
      <c r="A436">
        <v>124</v>
      </c>
      <c r="B436" t="str">
        <f t="shared" ref="B436:C436" si="436">B426</f>
        <v>AI</v>
      </c>
      <c r="C436" t="str">
        <f t="shared" si="436"/>
        <v>Relevance</v>
      </c>
      <c r="D436">
        <v>2</v>
      </c>
    </row>
    <row r="437" spans="1:5">
      <c r="A437">
        <v>124</v>
      </c>
      <c r="B437" t="str">
        <f t="shared" ref="B437:C437" si="437">B427</f>
        <v>Therapist</v>
      </c>
      <c r="C437" t="str">
        <f t="shared" si="437"/>
        <v>Distress Check</v>
      </c>
      <c r="D437">
        <v>4</v>
      </c>
    </row>
    <row r="438" spans="1:5">
      <c r="A438">
        <v>124</v>
      </c>
      <c r="B438" t="str">
        <f t="shared" ref="B438:C438" si="438">B428</f>
        <v>Therapist</v>
      </c>
      <c r="C438" t="str">
        <f t="shared" si="438"/>
        <v>Writing Reflection</v>
      </c>
      <c r="D438">
        <v>4</v>
      </c>
    </row>
    <row r="439" spans="1:5">
      <c r="A439">
        <v>124</v>
      </c>
      <c r="B439" t="str">
        <f t="shared" ref="B439:C439" si="439">B429</f>
        <v>Therapist</v>
      </c>
      <c r="C439" t="str">
        <f t="shared" si="439"/>
        <v>Avoids Processing</v>
      </c>
      <c r="D439">
        <v>5</v>
      </c>
    </row>
    <row r="440" spans="1:5">
      <c r="A440">
        <v>124</v>
      </c>
      <c r="B440" t="str">
        <f t="shared" ref="B440:C440" si="440">B430</f>
        <v>Therapist</v>
      </c>
      <c r="C440" t="str">
        <f t="shared" si="440"/>
        <v>Appropriateness</v>
      </c>
      <c r="D440">
        <v>5</v>
      </c>
    </row>
    <row r="441" spans="1:5">
      <c r="A441">
        <v>124</v>
      </c>
      <c r="B441" t="str">
        <f t="shared" ref="B441:C441" si="441">B431</f>
        <v>Therapist</v>
      </c>
      <c r="C441" t="str">
        <f t="shared" si="441"/>
        <v>Relevance</v>
      </c>
      <c r="D441">
        <v>4</v>
      </c>
      <c r="E441" t="s">
        <v>87</v>
      </c>
    </row>
    <row r="442" spans="1:5">
      <c r="A442">
        <v>126</v>
      </c>
      <c r="B442" t="str">
        <f t="shared" ref="B442:C442" si="442">B432</f>
        <v>AI</v>
      </c>
      <c r="C442" t="str">
        <f t="shared" si="442"/>
        <v>Distress Check</v>
      </c>
      <c r="D442">
        <v>2</v>
      </c>
    </row>
    <row r="443" spans="1:5">
      <c r="A443">
        <v>126</v>
      </c>
      <c r="B443" t="str">
        <f t="shared" ref="B443:C443" si="443">B433</f>
        <v>AI</v>
      </c>
      <c r="C443" t="str">
        <f t="shared" si="443"/>
        <v>Writing Reflection</v>
      </c>
      <c r="D443">
        <v>2</v>
      </c>
    </row>
    <row r="444" spans="1:5">
      <c r="A444">
        <v>126</v>
      </c>
      <c r="B444" t="str">
        <f t="shared" ref="B444:C444" si="444">B434</f>
        <v>AI</v>
      </c>
      <c r="C444" t="str">
        <f t="shared" si="444"/>
        <v>Avoids Processing</v>
      </c>
      <c r="D444">
        <v>1</v>
      </c>
    </row>
    <row r="445" spans="1:5">
      <c r="A445">
        <v>126</v>
      </c>
      <c r="B445" t="str">
        <f t="shared" ref="B445:C445" si="445">B435</f>
        <v>AI</v>
      </c>
      <c r="C445" t="str">
        <f t="shared" si="445"/>
        <v>Appropriateness</v>
      </c>
      <c r="D445">
        <v>2</v>
      </c>
    </row>
    <row r="446" spans="1:5">
      <c r="A446">
        <v>126</v>
      </c>
      <c r="B446" t="str">
        <f t="shared" ref="B446:C446" si="446">B436</f>
        <v>AI</v>
      </c>
      <c r="C446" t="str">
        <f t="shared" si="446"/>
        <v>Relevance</v>
      </c>
      <c r="D446">
        <v>2</v>
      </c>
    </row>
    <row r="447" spans="1:5">
      <c r="A447">
        <v>126</v>
      </c>
      <c r="B447" t="str">
        <f t="shared" ref="B447:C447" si="447">B437</f>
        <v>Therapist</v>
      </c>
      <c r="C447" t="str">
        <f t="shared" si="447"/>
        <v>Distress Check</v>
      </c>
      <c r="D447">
        <v>3</v>
      </c>
    </row>
    <row r="448" spans="1:5">
      <c r="A448">
        <v>126</v>
      </c>
      <c r="B448" t="str">
        <f t="shared" ref="B448:C448" si="448">B438</f>
        <v>Therapist</v>
      </c>
      <c r="C448" t="str">
        <f t="shared" si="448"/>
        <v>Writing Reflection</v>
      </c>
      <c r="D448">
        <v>5</v>
      </c>
    </row>
    <row r="449" spans="1:5">
      <c r="A449">
        <v>126</v>
      </c>
      <c r="B449" t="str">
        <f t="shared" ref="B449:C449" si="449">B439</f>
        <v>Therapist</v>
      </c>
      <c r="C449" t="str">
        <f t="shared" si="449"/>
        <v>Avoids Processing</v>
      </c>
      <c r="D449">
        <v>3</v>
      </c>
      <c r="E449" t="s">
        <v>88</v>
      </c>
    </row>
    <row r="450" spans="1:5">
      <c r="A450">
        <v>126</v>
      </c>
      <c r="B450" t="str">
        <f t="shared" ref="B450:C450" si="450">B440</f>
        <v>Therapist</v>
      </c>
      <c r="C450" t="str">
        <f t="shared" si="450"/>
        <v>Appropriateness</v>
      </c>
      <c r="D450">
        <v>5</v>
      </c>
    </row>
    <row r="451" spans="1:5">
      <c r="A451">
        <v>126</v>
      </c>
      <c r="B451" t="str">
        <f t="shared" ref="B451:C451" si="451">B441</f>
        <v>Therapist</v>
      </c>
      <c r="C451" t="str">
        <f t="shared" si="451"/>
        <v>Relevance</v>
      </c>
      <c r="D451">
        <v>2</v>
      </c>
      <c r="E451" t="s">
        <v>89</v>
      </c>
    </row>
    <row r="452" spans="1:5">
      <c r="A452">
        <v>129</v>
      </c>
      <c r="B452" t="str">
        <f t="shared" ref="B452:C452" si="452">B442</f>
        <v>AI</v>
      </c>
      <c r="C452" t="str">
        <f t="shared" si="452"/>
        <v>Distress Check</v>
      </c>
      <c r="D452">
        <v>3</v>
      </c>
    </row>
    <row r="453" spans="1:5">
      <c r="A453">
        <v>129</v>
      </c>
      <c r="B453" t="str">
        <f t="shared" ref="B453:C453" si="453">B443</f>
        <v>AI</v>
      </c>
      <c r="C453" t="str">
        <f t="shared" si="453"/>
        <v>Writing Reflection</v>
      </c>
      <c r="D453">
        <v>2</v>
      </c>
    </row>
    <row r="454" spans="1:5">
      <c r="A454">
        <v>129</v>
      </c>
      <c r="B454" t="str">
        <f t="shared" ref="B454:C454" si="454">B444</f>
        <v>AI</v>
      </c>
      <c r="C454" t="str">
        <f t="shared" si="454"/>
        <v>Avoids Processing</v>
      </c>
      <c r="D454">
        <v>1</v>
      </c>
    </row>
    <row r="455" spans="1:5">
      <c r="A455">
        <v>129</v>
      </c>
      <c r="B455" t="str">
        <f t="shared" ref="B455:C455" si="455">B445</f>
        <v>AI</v>
      </c>
      <c r="C455" t="str">
        <f t="shared" si="455"/>
        <v>Appropriateness</v>
      </c>
      <c r="D455">
        <v>2</v>
      </c>
    </row>
    <row r="456" spans="1:5">
      <c r="A456">
        <v>129</v>
      </c>
      <c r="B456" t="str">
        <f t="shared" ref="B456:C456" si="456">B446</f>
        <v>AI</v>
      </c>
      <c r="C456" t="str">
        <f t="shared" si="456"/>
        <v>Relevance</v>
      </c>
      <c r="D456">
        <v>2</v>
      </c>
    </row>
    <row r="457" spans="1:5">
      <c r="A457">
        <v>129</v>
      </c>
      <c r="B457" t="str">
        <f t="shared" ref="B457:C457" si="457">B447</f>
        <v>Therapist</v>
      </c>
      <c r="C457" t="str">
        <f t="shared" si="457"/>
        <v>Distress Check</v>
      </c>
      <c r="D457">
        <v>3</v>
      </c>
    </row>
    <row r="458" spans="1:5">
      <c r="A458">
        <v>129</v>
      </c>
      <c r="B458" t="str">
        <f t="shared" ref="B458:C458" si="458">B448</f>
        <v>Therapist</v>
      </c>
      <c r="C458" t="str">
        <f t="shared" si="458"/>
        <v>Writing Reflection</v>
      </c>
      <c r="D458">
        <v>3</v>
      </c>
    </row>
    <row r="459" spans="1:5">
      <c r="A459">
        <v>129</v>
      </c>
      <c r="B459" t="str">
        <f t="shared" ref="B459:C459" si="459">B449</f>
        <v>Therapist</v>
      </c>
      <c r="C459" t="str">
        <f t="shared" si="459"/>
        <v>Avoids Processing</v>
      </c>
      <c r="D459">
        <v>3</v>
      </c>
    </row>
    <row r="460" spans="1:5">
      <c r="A460">
        <v>129</v>
      </c>
      <c r="B460" t="str">
        <f t="shared" ref="B460:C460" si="460">B450</f>
        <v>Therapist</v>
      </c>
      <c r="C460" t="str">
        <f t="shared" si="460"/>
        <v>Appropriateness</v>
      </c>
      <c r="D460">
        <v>3</v>
      </c>
    </row>
    <row r="461" spans="1:5">
      <c r="A461">
        <v>129</v>
      </c>
      <c r="B461" t="str">
        <f t="shared" ref="B461:C461" si="461">B451</f>
        <v>Therapist</v>
      </c>
      <c r="C461" t="str">
        <f t="shared" si="461"/>
        <v>Relevance</v>
      </c>
      <c r="D461">
        <v>3</v>
      </c>
    </row>
    <row r="462" spans="1:5">
      <c r="A462">
        <v>134</v>
      </c>
      <c r="B462" t="str">
        <f t="shared" ref="B462:C462" si="462">B452</f>
        <v>AI</v>
      </c>
      <c r="C462" t="str">
        <f t="shared" si="462"/>
        <v>Distress Check</v>
      </c>
      <c r="D462">
        <v>1</v>
      </c>
    </row>
    <row r="463" spans="1:5">
      <c r="A463">
        <v>134</v>
      </c>
      <c r="B463" t="str">
        <f t="shared" ref="B463:C463" si="463">B453</f>
        <v>AI</v>
      </c>
      <c r="C463" t="str">
        <f t="shared" si="463"/>
        <v>Writing Reflection</v>
      </c>
      <c r="D463">
        <v>2</v>
      </c>
    </row>
    <row r="464" spans="1:5">
      <c r="A464">
        <v>134</v>
      </c>
      <c r="B464" t="str">
        <f t="shared" ref="B464:C464" si="464">B454</f>
        <v>AI</v>
      </c>
      <c r="C464" t="str">
        <f t="shared" si="464"/>
        <v>Avoids Processing</v>
      </c>
      <c r="D464">
        <v>1</v>
      </c>
    </row>
    <row r="465" spans="1:5">
      <c r="A465">
        <v>134</v>
      </c>
      <c r="B465" t="str">
        <f t="shared" ref="B465:C465" si="465">B455</f>
        <v>AI</v>
      </c>
      <c r="C465" t="str">
        <f t="shared" si="465"/>
        <v>Appropriateness</v>
      </c>
      <c r="D465">
        <v>2</v>
      </c>
    </row>
    <row r="466" spans="1:5">
      <c r="A466">
        <v>134</v>
      </c>
      <c r="B466" t="str">
        <f t="shared" ref="B466:C466" si="466">B456</f>
        <v>AI</v>
      </c>
      <c r="C466" t="str">
        <f t="shared" si="466"/>
        <v>Relevance</v>
      </c>
      <c r="D466">
        <v>2</v>
      </c>
      <c r="E466" t="s">
        <v>90</v>
      </c>
    </row>
    <row r="467" spans="1:5">
      <c r="A467">
        <v>134</v>
      </c>
      <c r="B467" t="str">
        <f t="shared" ref="B467:C467" si="467">B457</f>
        <v>Therapist</v>
      </c>
      <c r="C467" t="str">
        <f t="shared" si="467"/>
        <v>Distress Check</v>
      </c>
      <c r="D467">
        <v>2</v>
      </c>
    </row>
    <row r="468" spans="1:5">
      <c r="A468">
        <v>134</v>
      </c>
      <c r="B468" t="str">
        <f t="shared" ref="B468:C468" si="468">B458</f>
        <v>Therapist</v>
      </c>
      <c r="C468" t="str">
        <f t="shared" si="468"/>
        <v>Writing Reflection</v>
      </c>
      <c r="D468">
        <v>3</v>
      </c>
    </row>
    <row r="469" spans="1:5">
      <c r="A469">
        <v>134</v>
      </c>
      <c r="B469" t="str">
        <f t="shared" ref="B469:C469" si="469">B459</f>
        <v>Therapist</v>
      </c>
      <c r="C469" t="str">
        <f t="shared" si="469"/>
        <v>Avoids Processing</v>
      </c>
      <c r="D469">
        <v>3</v>
      </c>
    </row>
    <row r="470" spans="1:5">
      <c r="A470">
        <v>134</v>
      </c>
      <c r="B470" t="str">
        <f t="shared" ref="B470:C470" si="470">B460</f>
        <v>Therapist</v>
      </c>
      <c r="C470" t="str">
        <f t="shared" si="470"/>
        <v>Appropriateness</v>
      </c>
      <c r="D470">
        <v>4</v>
      </c>
      <c r="E470" t="s">
        <v>91</v>
      </c>
    </row>
    <row r="471" spans="1:5">
      <c r="A471">
        <v>134</v>
      </c>
      <c r="B471" t="str">
        <f t="shared" ref="B471:C471" si="471">B461</f>
        <v>Therapist</v>
      </c>
      <c r="C471" t="str">
        <f t="shared" si="471"/>
        <v>Relevance</v>
      </c>
      <c r="D471">
        <v>3</v>
      </c>
      <c r="E471" t="s">
        <v>92</v>
      </c>
    </row>
    <row r="472" spans="1:5">
      <c r="A472">
        <v>139</v>
      </c>
      <c r="B472" t="str">
        <f t="shared" ref="B472:C472" si="472">B462</f>
        <v>AI</v>
      </c>
      <c r="C472" t="str">
        <f t="shared" si="472"/>
        <v>Distress Check</v>
      </c>
      <c r="D472">
        <v>1</v>
      </c>
    </row>
    <row r="473" spans="1:5">
      <c r="A473">
        <v>139</v>
      </c>
      <c r="B473" t="str">
        <f t="shared" ref="B473:C473" si="473">B463</f>
        <v>AI</v>
      </c>
      <c r="C473" t="str">
        <f t="shared" si="473"/>
        <v>Writing Reflection</v>
      </c>
      <c r="D473">
        <v>2</v>
      </c>
    </row>
    <row r="474" spans="1:5">
      <c r="A474">
        <v>139</v>
      </c>
      <c r="B474" t="str">
        <f t="shared" ref="B474:C474" si="474">B464</f>
        <v>AI</v>
      </c>
      <c r="C474" t="str">
        <f t="shared" si="474"/>
        <v>Avoids Processing</v>
      </c>
      <c r="D474">
        <v>1</v>
      </c>
    </row>
    <row r="475" spans="1:5">
      <c r="A475">
        <v>139</v>
      </c>
      <c r="B475" t="str">
        <f t="shared" ref="B475:C475" si="475">B465</f>
        <v>AI</v>
      </c>
      <c r="C475" t="str">
        <f t="shared" si="475"/>
        <v>Appropriateness</v>
      </c>
      <c r="D475">
        <v>1</v>
      </c>
      <c r="E475" t="s">
        <v>93</v>
      </c>
    </row>
    <row r="476" spans="1:5">
      <c r="A476">
        <v>139</v>
      </c>
      <c r="B476" t="str">
        <f t="shared" ref="B476:C476" si="476">B466</f>
        <v>AI</v>
      </c>
      <c r="C476" t="str">
        <f t="shared" si="476"/>
        <v>Relevance</v>
      </c>
      <c r="D476">
        <v>2</v>
      </c>
    </row>
    <row r="477" spans="1:5">
      <c r="A477">
        <v>139</v>
      </c>
      <c r="B477" t="str">
        <f t="shared" ref="B477:C477" si="477">B467</f>
        <v>Therapist</v>
      </c>
      <c r="C477" t="str">
        <f t="shared" si="477"/>
        <v>Distress Check</v>
      </c>
      <c r="D477">
        <v>4</v>
      </c>
      <c r="E477" t="s">
        <v>95</v>
      </c>
    </row>
    <row r="478" spans="1:5">
      <c r="A478">
        <v>139</v>
      </c>
      <c r="B478" t="str">
        <f t="shared" ref="B478:C478" si="478">B468</f>
        <v>Therapist</v>
      </c>
      <c r="C478" t="str">
        <f t="shared" si="478"/>
        <v>Writing Reflection</v>
      </c>
      <c r="D478">
        <v>2</v>
      </c>
    </row>
    <row r="479" spans="1:5">
      <c r="A479">
        <v>139</v>
      </c>
      <c r="B479" t="str">
        <f t="shared" ref="B479:C479" si="479">B469</f>
        <v>Therapist</v>
      </c>
      <c r="C479" t="str">
        <f t="shared" si="479"/>
        <v>Avoids Processing</v>
      </c>
      <c r="D479">
        <v>3</v>
      </c>
    </row>
    <row r="480" spans="1:5">
      <c r="A480">
        <v>139</v>
      </c>
      <c r="B480" t="str">
        <f t="shared" ref="B480:C480" si="480">B470</f>
        <v>Therapist</v>
      </c>
      <c r="C480" t="str">
        <f t="shared" si="480"/>
        <v>Appropriateness</v>
      </c>
      <c r="D480">
        <v>4</v>
      </c>
      <c r="E480" t="s">
        <v>94</v>
      </c>
    </row>
    <row r="481" spans="1:4">
      <c r="A481">
        <v>139</v>
      </c>
      <c r="B481" t="str">
        <f t="shared" ref="B481:C481" si="481">B471</f>
        <v>Therapist</v>
      </c>
      <c r="C481" t="str">
        <f t="shared" si="481"/>
        <v>Relevance</v>
      </c>
      <c r="D481">
        <v>3</v>
      </c>
    </row>
    <row r="482" spans="1:4">
      <c r="A482">
        <v>144</v>
      </c>
      <c r="B482" t="str">
        <f t="shared" ref="B482:C482" si="482">B472</f>
        <v>AI</v>
      </c>
      <c r="C482" t="str">
        <f t="shared" si="482"/>
        <v>Distress Check</v>
      </c>
      <c r="D482">
        <v>2</v>
      </c>
    </row>
    <row r="483" spans="1:4">
      <c r="A483">
        <v>144</v>
      </c>
      <c r="B483" t="str">
        <f t="shared" ref="B483:C483" si="483">B473</f>
        <v>AI</v>
      </c>
      <c r="C483" t="str">
        <f t="shared" si="483"/>
        <v>Writing Reflection</v>
      </c>
      <c r="D483">
        <v>2</v>
      </c>
    </row>
    <row r="484" spans="1:4">
      <c r="A484">
        <v>144</v>
      </c>
      <c r="B484" t="str">
        <f t="shared" ref="B484:C484" si="484">B474</f>
        <v>AI</v>
      </c>
      <c r="C484" t="str">
        <f t="shared" si="484"/>
        <v>Avoids Processing</v>
      </c>
      <c r="D484">
        <v>1</v>
      </c>
    </row>
    <row r="485" spans="1:4">
      <c r="A485">
        <v>144</v>
      </c>
      <c r="B485" t="str">
        <f t="shared" ref="B485:C485" si="485">B475</f>
        <v>AI</v>
      </c>
      <c r="C485" t="str">
        <f t="shared" si="485"/>
        <v>Appropriateness</v>
      </c>
      <c r="D485">
        <v>2</v>
      </c>
    </row>
    <row r="486" spans="1:4">
      <c r="A486">
        <v>144</v>
      </c>
      <c r="B486" t="str">
        <f t="shared" ref="B486:C486" si="486">B476</f>
        <v>AI</v>
      </c>
      <c r="C486" t="str">
        <f t="shared" si="486"/>
        <v>Relevance</v>
      </c>
      <c r="D486">
        <v>2</v>
      </c>
    </row>
    <row r="487" spans="1:4">
      <c r="A487">
        <v>144</v>
      </c>
      <c r="B487" t="str">
        <f t="shared" ref="B487:C487" si="487">B477</f>
        <v>Therapist</v>
      </c>
      <c r="C487" t="str">
        <f t="shared" si="487"/>
        <v>Distress Check</v>
      </c>
      <c r="D487">
        <v>2</v>
      </c>
    </row>
    <row r="488" spans="1:4">
      <c r="A488">
        <v>144</v>
      </c>
      <c r="B488" t="str">
        <f t="shared" ref="B488:C488" si="488">B478</f>
        <v>Therapist</v>
      </c>
      <c r="C488" t="str">
        <f t="shared" si="488"/>
        <v>Writing Reflection</v>
      </c>
      <c r="D488">
        <v>4</v>
      </c>
    </row>
    <row r="489" spans="1:4">
      <c r="A489">
        <v>144</v>
      </c>
      <c r="B489" t="str">
        <f t="shared" ref="B489:C489" si="489">B479</f>
        <v>Therapist</v>
      </c>
      <c r="C489" t="str">
        <f t="shared" si="489"/>
        <v>Avoids Processing</v>
      </c>
      <c r="D489">
        <v>3</v>
      </c>
    </row>
    <row r="490" spans="1:4">
      <c r="A490">
        <v>144</v>
      </c>
      <c r="B490" t="str">
        <f t="shared" ref="B490:C490" si="490">B480</f>
        <v>Therapist</v>
      </c>
      <c r="C490" t="str">
        <f t="shared" si="490"/>
        <v>Appropriateness</v>
      </c>
      <c r="D490">
        <v>5</v>
      </c>
    </row>
    <row r="491" spans="1:4">
      <c r="A491">
        <v>144</v>
      </c>
      <c r="B491" t="str">
        <f t="shared" ref="B491:C491" si="491">B481</f>
        <v>Therapist</v>
      </c>
      <c r="C491" t="str">
        <f t="shared" si="491"/>
        <v>Relevance</v>
      </c>
      <c r="D491">
        <v>4</v>
      </c>
    </row>
  </sheetData>
  <mergeCells count="6">
    <mergeCell ref="L22:S22"/>
    <mergeCell ref="U22:AB22"/>
    <mergeCell ref="E297:E301"/>
    <mergeCell ref="L1:Q1"/>
    <mergeCell ref="L8:Q8"/>
    <mergeCell ref="L15:Q15"/>
  </mergeCells>
  <pageMargins left="0.7" right="0.7" top="0.75" bottom="0.75" header="0.3" footer="0.3"/>
  <pageSetup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EE6BF-010D-44C4-9ABD-D149D509466D}">
  <dimension ref="A1:AW11"/>
  <sheetViews>
    <sheetView workbookViewId="0">
      <selection activeCell="G28" sqref="G28"/>
    </sheetView>
  </sheetViews>
  <sheetFormatPr defaultRowHeight="14.25"/>
  <sheetData>
    <row r="1" spans="1:49">
      <c r="A1">
        <v>3</v>
      </c>
      <c r="B1">
        <v>4</v>
      </c>
      <c r="C1">
        <v>16</v>
      </c>
      <c r="D1">
        <v>17</v>
      </c>
      <c r="E1">
        <v>18</v>
      </c>
      <c r="F1">
        <v>20</v>
      </c>
      <c r="G1">
        <v>23</v>
      </c>
      <c r="H1">
        <v>25</v>
      </c>
      <c r="I1">
        <v>28</v>
      </c>
      <c r="J1">
        <v>31</v>
      </c>
      <c r="K1">
        <v>32</v>
      </c>
      <c r="L1">
        <v>33</v>
      </c>
      <c r="M1">
        <v>34</v>
      </c>
      <c r="N1">
        <v>36</v>
      </c>
      <c r="O1">
        <v>38</v>
      </c>
      <c r="P1">
        <v>42</v>
      </c>
      <c r="Q1">
        <v>44</v>
      </c>
      <c r="R1">
        <v>45</v>
      </c>
      <c r="S1">
        <v>46</v>
      </c>
      <c r="T1">
        <v>49</v>
      </c>
      <c r="U1">
        <v>51</v>
      </c>
      <c r="V1">
        <v>52</v>
      </c>
      <c r="W1">
        <v>55</v>
      </c>
      <c r="X1">
        <v>60</v>
      </c>
      <c r="Y1">
        <v>66</v>
      </c>
      <c r="Z1">
        <v>68</v>
      </c>
      <c r="AA1">
        <v>70</v>
      </c>
      <c r="AB1">
        <v>73</v>
      </c>
      <c r="AC1">
        <v>76</v>
      </c>
      <c r="AD1">
        <v>85</v>
      </c>
      <c r="AE1">
        <v>87</v>
      </c>
      <c r="AF1">
        <v>88</v>
      </c>
      <c r="AG1">
        <v>90</v>
      </c>
      <c r="AH1">
        <v>91</v>
      </c>
      <c r="AI1">
        <v>92</v>
      </c>
      <c r="AJ1">
        <v>96</v>
      </c>
      <c r="AK1">
        <v>97</v>
      </c>
      <c r="AL1">
        <v>101</v>
      </c>
      <c r="AM1">
        <v>102</v>
      </c>
      <c r="AN1">
        <v>115</v>
      </c>
      <c r="AO1">
        <v>116</v>
      </c>
      <c r="AP1">
        <v>120</v>
      </c>
      <c r="AQ1">
        <v>121</v>
      </c>
      <c r="AR1">
        <v>124</v>
      </c>
      <c r="AS1">
        <v>126</v>
      </c>
      <c r="AT1">
        <v>129</v>
      </c>
      <c r="AU1">
        <v>134</v>
      </c>
      <c r="AV1">
        <v>139</v>
      </c>
      <c r="AW1">
        <v>144</v>
      </c>
    </row>
    <row r="2" spans="1:49">
      <c r="A2">
        <v>3</v>
      </c>
      <c r="B2">
        <v>4</v>
      </c>
      <c r="C2">
        <v>16</v>
      </c>
      <c r="D2">
        <v>17</v>
      </c>
      <c r="E2">
        <v>18</v>
      </c>
      <c r="F2">
        <v>20</v>
      </c>
      <c r="G2">
        <v>23</v>
      </c>
      <c r="H2">
        <v>25</v>
      </c>
      <c r="I2">
        <v>28</v>
      </c>
      <c r="J2">
        <v>31</v>
      </c>
      <c r="K2">
        <v>32</v>
      </c>
      <c r="L2">
        <v>33</v>
      </c>
      <c r="M2">
        <v>34</v>
      </c>
      <c r="N2">
        <v>36</v>
      </c>
      <c r="O2">
        <v>38</v>
      </c>
      <c r="P2">
        <v>42</v>
      </c>
      <c r="Q2">
        <v>44</v>
      </c>
      <c r="R2">
        <v>45</v>
      </c>
      <c r="S2">
        <v>46</v>
      </c>
      <c r="T2">
        <v>49</v>
      </c>
      <c r="U2">
        <v>51</v>
      </c>
      <c r="V2">
        <v>52</v>
      </c>
      <c r="W2">
        <v>55</v>
      </c>
      <c r="X2">
        <v>60</v>
      </c>
      <c r="Y2">
        <v>66</v>
      </c>
      <c r="Z2">
        <v>68</v>
      </c>
      <c r="AA2">
        <v>70</v>
      </c>
      <c r="AB2">
        <v>73</v>
      </c>
      <c r="AC2">
        <v>76</v>
      </c>
      <c r="AD2">
        <v>85</v>
      </c>
      <c r="AE2">
        <v>87</v>
      </c>
      <c r="AF2">
        <v>88</v>
      </c>
      <c r="AG2">
        <v>90</v>
      </c>
      <c r="AH2">
        <v>91</v>
      </c>
      <c r="AI2">
        <v>92</v>
      </c>
      <c r="AJ2">
        <v>96</v>
      </c>
      <c r="AK2">
        <v>97</v>
      </c>
      <c r="AL2">
        <v>101</v>
      </c>
      <c r="AM2">
        <v>102</v>
      </c>
      <c r="AN2">
        <v>115</v>
      </c>
      <c r="AO2">
        <v>116</v>
      </c>
      <c r="AP2">
        <v>120</v>
      </c>
      <c r="AQ2">
        <v>121</v>
      </c>
      <c r="AR2">
        <v>124</v>
      </c>
      <c r="AS2">
        <v>126</v>
      </c>
      <c r="AT2">
        <v>129</v>
      </c>
      <c r="AU2">
        <v>134</v>
      </c>
      <c r="AV2">
        <v>139</v>
      </c>
      <c r="AW2">
        <v>144</v>
      </c>
    </row>
    <row r="3" spans="1:49">
      <c r="A3">
        <v>3</v>
      </c>
      <c r="B3">
        <v>4</v>
      </c>
      <c r="C3">
        <v>16</v>
      </c>
      <c r="D3">
        <v>17</v>
      </c>
      <c r="E3">
        <v>18</v>
      </c>
      <c r="F3">
        <v>20</v>
      </c>
      <c r="G3">
        <v>23</v>
      </c>
      <c r="H3">
        <v>25</v>
      </c>
      <c r="I3">
        <v>28</v>
      </c>
      <c r="J3">
        <v>31</v>
      </c>
      <c r="K3">
        <v>32</v>
      </c>
      <c r="L3">
        <v>33</v>
      </c>
      <c r="M3">
        <v>34</v>
      </c>
      <c r="N3">
        <v>36</v>
      </c>
      <c r="O3">
        <v>38</v>
      </c>
      <c r="P3">
        <v>42</v>
      </c>
      <c r="Q3">
        <v>44</v>
      </c>
      <c r="R3">
        <v>45</v>
      </c>
      <c r="S3">
        <v>46</v>
      </c>
      <c r="T3">
        <v>49</v>
      </c>
      <c r="U3">
        <v>51</v>
      </c>
      <c r="V3">
        <v>52</v>
      </c>
      <c r="W3">
        <v>55</v>
      </c>
      <c r="X3">
        <v>60</v>
      </c>
      <c r="Y3">
        <v>66</v>
      </c>
      <c r="Z3">
        <v>68</v>
      </c>
      <c r="AA3">
        <v>70</v>
      </c>
      <c r="AB3">
        <v>73</v>
      </c>
      <c r="AC3">
        <v>76</v>
      </c>
      <c r="AD3">
        <v>85</v>
      </c>
      <c r="AE3">
        <v>87</v>
      </c>
      <c r="AF3">
        <v>88</v>
      </c>
      <c r="AG3">
        <v>90</v>
      </c>
      <c r="AH3">
        <v>91</v>
      </c>
      <c r="AI3">
        <v>92</v>
      </c>
      <c r="AJ3">
        <v>96</v>
      </c>
      <c r="AK3">
        <v>97</v>
      </c>
      <c r="AL3">
        <v>101</v>
      </c>
      <c r="AM3">
        <v>102</v>
      </c>
      <c r="AN3">
        <v>115</v>
      </c>
      <c r="AO3">
        <v>116</v>
      </c>
      <c r="AP3">
        <v>120</v>
      </c>
      <c r="AQ3">
        <v>121</v>
      </c>
      <c r="AR3">
        <v>124</v>
      </c>
      <c r="AS3">
        <v>126</v>
      </c>
      <c r="AT3">
        <v>129</v>
      </c>
      <c r="AU3">
        <v>134</v>
      </c>
      <c r="AV3">
        <v>139</v>
      </c>
      <c r="AW3">
        <v>144</v>
      </c>
    </row>
    <row r="4" spans="1:49">
      <c r="A4">
        <v>3</v>
      </c>
      <c r="B4">
        <v>4</v>
      </c>
      <c r="C4">
        <v>16</v>
      </c>
      <c r="D4">
        <v>17</v>
      </c>
      <c r="E4">
        <v>18</v>
      </c>
      <c r="F4">
        <v>20</v>
      </c>
      <c r="G4">
        <v>23</v>
      </c>
      <c r="H4">
        <v>25</v>
      </c>
      <c r="I4">
        <v>28</v>
      </c>
      <c r="J4">
        <v>31</v>
      </c>
      <c r="K4">
        <v>32</v>
      </c>
      <c r="L4">
        <v>33</v>
      </c>
      <c r="M4">
        <v>34</v>
      </c>
      <c r="N4">
        <v>36</v>
      </c>
      <c r="O4">
        <v>38</v>
      </c>
      <c r="P4">
        <v>42</v>
      </c>
      <c r="Q4">
        <v>44</v>
      </c>
      <c r="R4">
        <v>45</v>
      </c>
      <c r="S4">
        <v>46</v>
      </c>
      <c r="T4">
        <v>49</v>
      </c>
      <c r="U4">
        <v>51</v>
      </c>
      <c r="V4">
        <v>52</v>
      </c>
      <c r="W4">
        <v>55</v>
      </c>
      <c r="X4">
        <v>60</v>
      </c>
      <c r="Y4">
        <v>66</v>
      </c>
      <c r="Z4">
        <v>68</v>
      </c>
      <c r="AA4">
        <v>70</v>
      </c>
      <c r="AB4">
        <v>73</v>
      </c>
      <c r="AC4">
        <v>76</v>
      </c>
      <c r="AD4">
        <v>85</v>
      </c>
      <c r="AE4">
        <v>87</v>
      </c>
      <c r="AF4">
        <v>88</v>
      </c>
      <c r="AG4">
        <v>90</v>
      </c>
      <c r="AH4">
        <v>91</v>
      </c>
      <c r="AI4">
        <v>92</v>
      </c>
      <c r="AJ4">
        <v>96</v>
      </c>
      <c r="AK4">
        <v>97</v>
      </c>
      <c r="AL4">
        <v>101</v>
      </c>
      <c r="AM4">
        <v>102</v>
      </c>
      <c r="AN4">
        <v>115</v>
      </c>
      <c r="AO4">
        <v>116</v>
      </c>
      <c r="AP4">
        <v>120</v>
      </c>
      <c r="AQ4">
        <v>121</v>
      </c>
      <c r="AR4">
        <v>124</v>
      </c>
      <c r="AS4">
        <v>126</v>
      </c>
      <c r="AT4">
        <v>129</v>
      </c>
      <c r="AU4">
        <v>134</v>
      </c>
      <c r="AV4">
        <v>139</v>
      </c>
      <c r="AW4">
        <v>144</v>
      </c>
    </row>
    <row r="5" spans="1:49">
      <c r="A5">
        <v>3</v>
      </c>
      <c r="B5">
        <v>4</v>
      </c>
      <c r="C5">
        <v>16</v>
      </c>
      <c r="D5">
        <v>17</v>
      </c>
      <c r="E5">
        <v>18</v>
      </c>
      <c r="F5">
        <v>20</v>
      </c>
      <c r="G5">
        <v>23</v>
      </c>
      <c r="H5">
        <v>25</v>
      </c>
      <c r="I5">
        <v>28</v>
      </c>
      <c r="J5">
        <v>31</v>
      </c>
      <c r="K5">
        <v>32</v>
      </c>
      <c r="L5">
        <v>33</v>
      </c>
      <c r="M5">
        <v>34</v>
      </c>
      <c r="N5">
        <v>36</v>
      </c>
      <c r="O5">
        <v>38</v>
      </c>
      <c r="P5">
        <v>42</v>
      </c>
      <c r="Q5">
        <v>44</v>
      </c>
      <c r="R5">
        <v>45</v>
      </c>
      <c r="S5">
        <v>46</v>
      </c>
      <c r="T5">
        <v>49</v>
      </c>
      <c r="U5">
        <v>51</v>
      </c>
      <c r="V5">
        <v>52</v>
      </c>
      <c r="W5">
        <v>55</v>
      </c>
      <c r="X5">
        <v>60</v>
      </c>
      <c r="Y5">
        <v>66</v>
      </c>
      <c r="Z5">
        <v>68</v>
      </c>
      <c r="AA5">
        <v>70</v>
      </c>
      <c r="AB5">
        <v>73</v>
      </c>
      <c r="AC5">
        <v>76</v>
      </c>
      <c r="AD5">
        <v>85</v>
      </c>
      <c r="AE5">
        <v>87</v>
      </c>
      <c r="AF5">
        <v>88</v>
      </c>
      <c r="AG5">
        <v>90</v>
      </c>
      <c r="AH5">
        <v>91</v>
      </c>
      <c r="AI5">
        <v>92</v>
      </c>
      <c r="AJ5">
        <v>96</v>
      </c>
      <c r="AK5">
        <v>97</v>
      </c>
      <c r="AL5">
        <v>101</v>
      </c>
      <c r="AM5">
        <v>102</v>
      </c>
      <c r="AN5">
        <v>115</v>
      </c>
      <c r="AO5">
        <v>116</v>
      </c>
      <c r="AP5">
        <v>120</v>
      </c>
      <c r="AQ5">
        <v>121</v>
      </c>
      <c r="AR5">
        <v>124</v>
      </c>
      <c r="AS5">
        <v>126</v>
      </c>
      <c r="AT5">
        <v>129</v>
      </c>
      <c r="AU5">
        <v>134</v>
      </c>
      <c r="AV5">
        <v>139</v>
      </c>
      <c r="AW5">
        <v>144</v>
      </c>
    </row>
    <row r="6" spans="1:49">
      <c r="A6">
        <v>3</v>
      </c>
      <c r="B6">
        <v>4</v>
      </c>
      <c r="C6">
        <v>16</v>
      </c>
      <c r="D6">
        <v>17</v>
      </c>
      <c r="E6">
        <v>18</v>
      </c>
      <c r="F6">
        <v>20</v>
      </c>
      <c r="G6">
        <v>23</v>
      </c>
      <c r="H6">
        <v>25</v>
      </c>
      <c r="I6">
        <v>28</v>
      </c>
      <c r="J6">
        <v>31</v>
      </c>
      <c r="K6">
        <v>32</v>
      </c>
      <c r="L6">
        <v>33</v>
      </c>
      <c r="M6">
        <v>34</v>
      </c>
      <c r="N6">
        <v>36</v>
      </c>
      <c r="O6">
        <v>38</v>
      </c>
      <c r="P6">
        <v>42</v>
      </c>
      <c r="Q6">
        <v>44</v>
      </c>
      <c r="R6">
        <v>45</v>
      </c>
      <c r="S6">
        <v>46</v>
      </c>
      <c r="T6">
        <v>49</v>
      </c>
      <c r="U6">
        <v>51</v>
      </c>
      <c r="V6">
        <v>52</v>
      </c>
      <c r="W6">
        <v>55</v>
      </c>
      <c r="X6">
        <v>60</v>
      </c>
      <c r="Y6">
        <v>66</v>
      </c>
      <c r="Z6">
        <v>68</v>
      </c>
      <c r="AA6">
        <v>70</v>
      </c>
      <c r="AB6">
        <v>73</v>
      </c>
      <c r="AC6">
        <v>76</v>
      </c>
      <c r="AD6">
        <v>85</v>
      </c>
      <c r="AE6">
        <v>87</v>
      </c>
      <c r="AF6">
        <v>88</v>
      </c>
      <c r="AG6">
        <v>90</v>
      </c>
      <c r="AH6">
        <v>91</v>
      </c>
      <c r="AI6">
        <v>92</v>
      </c>
      <c r="AJ6">
        <v>96</v>
      </c>
      <c r="AK6">
        <v>97</v>
      </c>
      <c r="AL6">
        <v>101</v>
      </c>
      <c r="AM6">
        <v>102</v>
      </c>
      <c r="AN6">
        <v>115</v>
      </c>
      <c r="AO6">
        <v>116</v>
      </c>
      <c r="AP6">
        <v>120</v>
      </c>
      <c r="AQ6">
        <v>121</v>
      </c>
      <c r="AR6">
        <v>124</v>
      </c>
      <c r="AS6">
        <v>126</v>
      </c>
      <c r="AT6">
        <v>129</v>
      </c>
      <c r="AU6">
        <v>134</v>
      </c>
      <c r="AV6">
        <v>139</v>
      </c>
      <c r="AW6">
        <v>144</v>
      </c>
    </row>
    <row r="7" spans="1:49">
      <c r="A7">
        <v>3</v>
      </c>
      <c r="B7">
        <v>4</v>
      </c>
      <c r="C7">
        <v>16</v>
      </c>
      <c r="D7">
        <v>17</v>
      </c>
      <c r="E7">
        <v>18</v>
      </c>
      <c r="F7">
        <v>20</v>
      </c>
      <c r="G7">
        <v>23</v>
      </c>
      <c r="H7">
        <v>25</v>
      </c>
      <c r="I7">
        <v>28</v>
      </c>
      <c r="J7">
        <v>31</v>
      </c>
      <c r="K7">
        <v>32</v>
      </c>
      <c r="L7">
        <v>33</v>
      </c>
      <c r="M7">
        <v>34</v>
      </c>
      <c r="N7">
        <v>36</v>
      </c>
      <c r="O7">
        <v>38</v>
      </c>
      <c r="P7">
        <v>42</v>
      </c>
      <c r="Q7">
        <v>44</v>
      </c>
      <c r="R7">
        <v>45</v>
      </c>
      <c r="S7">
        <v>46</v>
      </c>
      <c r="T7">
        <v>49</v>
      </c>
      <c r="U7">
        <v>51</v>
      </c>
      <c r="V7">
        <v>52</v>
      </c>
      <c r="W7">
        <v>55</v>
      </c>
      <c r="X7">
        <v>60</v>
      </c>
      <c r="Y7">
        <v>66</v>
      </c>
      <c r="Z7">
        <v>68</v>
      </c>
      <c r="AA7">
        <v>70</v>
      </c>
      <c r="AB7">
        <v>73</v>
      </c>
      <c r="AC7">
        <v>76</v>
      </c>
      <c r="AD7">
        <v>85</v>
      </c>
      <c r="AE7">
        <v>87</v>
      </c>
      <c r="AF7">
        <v>88</v>
      </c>
      <c r="AG7">
        <v>90</v>
      </c>
      <c r="AH7">
        <v>91</v>
      </c>
      <c r="AI7">
        <v>92</v>
      </c>
      <c r="AJ7">
        <v>96</v>
      </c>
      <c r="AK7">
        <v>97</v>
      </c>
      <c r="AL7">
        <v>101</v>
      </c>
      <c r="AM7">
        <v>102</v>
      </c>
      <c r="AN7">
        <v>115</v>
      </c>
      <c r="AO7">
        <v>116</v>
      </c>
      <c r="AP7">
        <v>120</v>
      </c>
      <c r="AQ7">
        <v>121</v>
      </c>
      <c r="AR7">
        <v>124</v>
      </c>
      <c r="AS7">
        <v>126</v>
      </c>
      <c r="AT7">
        <v>129</v>
      </c>
      <c r="AU7">
        <v>134</v>
      </c>
      <c r="AV7">
        <v>139</v>
      </c>
      <c r="AW7">
        <v>144</v>
      </c>
    </row>
    <row r="8" spans="1:49">
      <c r="A8">
        <v>3</v>
      </c>
      <c r="B8">
        <v>4</v>
      </c>
      <c r="C8">
        <v>16</v>
      </c>
      <c r="D8">
        <v>17</v>
      </c>
      <c r="E8">
        <v>18</v>
      </c>
      <c r="F8">
        <v>20</v>
      </c>
      <c r="G8">
        <v>23</v>
      </c>
      <c r="H8">
        <v>25</v>
      </c>
      <c r="I8">
        <v>28</v>
      </c>
      <c r="J8">
        <v>31</v>
      </c>
      <c r="K8">
        <v>32</v>
      </c>
      <c r="L8">
        <v>33</v>
      </c>
      <c r="M8">
        <v>34</v>
      </c>
      <c r="N8">
        <v>36</v>
      </c>
      <c r="O8">
        <v>38</v>
      </c>
      <c r="P8">
        <v>42</v>
      </c>
      <c r="Q8">
        <v>44</v>
      </c>
      <c r="R8">
        <v>45</v>
      </c>
      <c r="S8">
        <v>46</v>
      </c>
      <c r="T8">
        <v>49</v>
      </c>
      <c r="U8">
        <v>51</v>
      </c>
      <c r="V8">
        <v>52</v>
      </c>
      <c r="W8">
        <v>55</v>
      </c>
      <c r="X8">
        <v>60</v>
      </c>
      <c r="Y8">
        <v>66</v>
      </c>
      <c r="Z8">
        <v>68</v>
      </c>
      <c r="AA8">
        <v>70</v>
      </c>
      <c r="AB8">
        <v>73</v>
      </c>
      <c r="AC8">
        <v>76</v>
      </c>
      <c r="AD8">
        <v>85</v>
      </c>
      <c r="AE8">
        <v>87</v>
      </c>
      <c r="AF8">
        <v>88</v>
      </c>
      <c r="AG8">
        <v>90</v>
      </c>
      <c r="AH8">
        <v>91</v>
      </c>
      <c r="AI8">
        <v>92</v>
      </c>
      <c r="AJ8">
        <v>96</v>
      </c>
      <c r="AK8">
        <v>97</v>
      </c>
      <c r="AL8">
        <v>101</v>
      </c>
      <c r="AM8">
        <v>102</v>
      </c>
      <c r="AN8">
        <v>115</v>
      </c>
      <c r="AO8">
        <v>116</v>
      </c>
      <c r="AP8">
        <v>120</v>
      </c>
      <c r="AQ8">
        <v>121</v>
      </c>
      <c r="AR8">
        <v>124</v>
      </c>
      <c r="AS8">
        <v>126</v>
      </c>
      <c r="AT8">
        <v>129</v>
      </c>
      <c r="AU8">
        <v>134</v>
      </c>
      <c r="AV8">
        <v>139</v>
      </c>
      <c r="AW8">
        <v>144</v>
      </c>
    </row>
    <row r="9" spans="1:49">
      <c r="A9">
        <v>3</v>
      </c>
      <c r="B9">
        <v>4</v>
      </c>
      <c r="C9">
        <v>16</v>
      </c>
      <c r="D9">
        <v>17</v>
      </c>
      <c r="E9">
        <v>18</v>
      </c>
      <c r="F9">
        <v>20</v>
      </c>
      <c r="G9">
        <v>23</v>
      </c>
      <c r="H9">
        <v>25</v>
      </c>
      <c r="I9">
        <v>28</v>
      </c>
      <c r="J9">
        <v>31</v>
      </c>
      <c r="K9">
        <v>32</v>
      </c>
      <c r="L9">
        <v>33</v>
      </c>
      <c r="M9">
        <v>34</v>
      </c>
      <c r="N9">
        <v>36</v>
      </c>
      <c r="O9">
        <v>38</v>
      </c>
      <c r="P9">
        <v>42</v>
      </c>
      <c r="Q9">
        <v>44</v>
      </c>
      <c r="R9">
        <v>45</v>
      </c>
      <c r="S9">
        <v>46</v>
      </c>
      <c r="T9">
        <v>49</v>
      </c>
      <c r="U9">
        <v>51</v>
      </c>
      <c r="V9">
        <v>52</v>
      </c>
      <c r="W9">
        <v>55</v>
      </c>
      <c r="X9">
        <v>60</v>
      </c>
      <c r="Y9">
        <v>66</v>
      </c>
      <c r="Z9">
        <v>68</v>
      </c>
      <c r="AA9">
        <v>70</v>
      </c>
      <c r="AB9">
        <v>73</v>
      </c>
      <c r="AC9">
        <v>76</v>
      </c>
      <c r="AD9">
        <v>85</v>
      </c>
      <c r="AE9">
        <v>87</v>
      </c>
      <c r="AF9">
        <v>88</v>
      </c>
      <c r="AG9">
        <v>90</v>
      </c>
      <c r="AH9">
        <v>91</v>
      </c>
      <c r="AI9">
        <v>92</v>
      </c>
      <c r="AJ9">
        <v>96</v>
      </c>
      <c r="AK9">
        <v>97</v>
      </c>
      <c r="AL9">
        <v>101</v>
      </c>
      <c r="AM9">
        <v>102</v>
      </c>
      <c r="AN9">
        <v>115</v>
      </c>
      <c r="AO9">
        <v>116</v>
      </c>
      <c r="AP9">
        <v>120</v>
      </c>
      <c r="AQ9">
        <v>121</v>
      </c>
      <c r="AR9">
        <v>124</v>
      </c>
      <c r="AS9">
        <v>126</v>
      </c>
      <c r="AT9">
        <v>129</v>
      </c>
      <c r="AU9">
        <v>134</v>
      </c>
      <c r="AV9">
        <v>139</v>
      </c>
      <c r="AW9">
        <v>144</v>
      </c>
    </row>
    <row r="10" spans="1:49">
      <c r="A10">
        <v>3</v>
      </c>
      <c r="B10">
        <v>4</v>
      </c>
      <c r="C10">
        <v>16</v>
      </c>
      <c r="D10">
        <v>17</v>
      </c>
      <c r="E10">
        <v>18</v>
      </c>
      <c r="F10">
        <v>20</v>
      </c>
      <c r="G10">
        <v>23</v>
      </c>
      <c r="H10">
        <v>25</v>
      </c>
      <c r="I10">
        <v>28</v>
      </c>
      <c r="J10">
        <v>31</v>
      </c>
      <c r="K10">
        <v>32</v>
      </c>
      <c r="L10">
        <v>33</v>
      </c>
      <c r="M10">
        <v>34</v>
      </c>
      <c r="N10">
        <v>36</v>
      </c>
      <c r="O10">
        <v>38</v>
      </c>
      <c r="P10">
        <v>42</v>
      </c>
      <c r="Q10">
        <v>44</v>
      </c>
      <c r="R10">
        <v>45</v>
      </c>
      <c r="S10">
        <v>46</v>
      </c>
      <c r="T10">
        <v>49</v>
      </c>
      <c r="U10">
        <v>51</v>
      </c>
      <c r="V10">
        <v>52</v>
      </c>
      <c r="W10">
        <v>55</v>
      </c>
      <c r="X10">
        <v>60</v>
      </c>
      <c r="Y10">
        <v>66</v>
      </c>
      <c r="Z10">
        <v>68</v>
      </c>
      <c r="AA10">
        <v>70</v>
      </c>
      <c r="AB10">
        <v>73</v>
      </c>
      <c r="AC10">
        <v>76</v>
      </c>
      <c r="AD10">
        <v>85</v>
      </c>
      <c r="AE10">
        <v>87</v>
      </c>
      <c r="AF10">
        <v>88</v>
      </c>
      <c r="AG10">
        <v>90</v>
      </c>
      <c r="AH10">
        <v>91</v>
      </c>
      <c r="AI10">
        <v>92</v>
      </c>
      <c r="AJ10">
        <v>96</v>
      </c>
      <c r="AK10">
        <v>97</v>
      </c>
      <c r="AL10">
        <v>101</v>
      </c>
      <c r="AM10">
        <v>102</v>
      </c>
      <c r="AN10">
        <v>115</v>
      </c>
      <c r="AO10">
        <v>116</v>
      </c>
      <c r="AP10">
        <v>120</v>
      </c>
      <c r="AQ10">
        <v>121</v>
      </c>
      <c r="AR10">
        <v>124</v>
      </c>
      <c r="AS10">
        <v>126</v>
      </c>
      <c r="AT10">
        <v>129</v>
      </c>
      <c r="AU10">
        <v>134</v>
      </c>
      <c r="AV10">
        <v>139</v>
      </c>
      <c r="AW10">
        <v>144</v>
      </c>
    </row>
    <row r="11" spans="1:49">
      <c r="A11">
        <v>3</v>
      </c>
      <c r="B11">
        <v>4</v>
      </c>
      <c r="C11">
        <v>16</v>
      </c>
      <c r="D11">
        <v>17</v>
      </c>
      <c r="E11">
        <v>18</v>
      </c>
      <c r="F11">
        <v>20</v>
      </c>
      <c r="G11">
        <v>23</v>
      </c>
      <c r="H11">
        <v>25</v>
      </c>
      <c r="I11">
        <v>28</v>
      </c>
      <c r="J11">
        <v>31</v>
      </c>
      <c r="K11">
        <v>32</v>
      </c>
      <c r="L11">
        <v>33</v>
      </c>
      <c r="M11">
        <v>34</v>
      </c>
      <c r="N11">
        <v>36</v>
      </c>
      <c r="O11">
        <v>38</v>
      </c>
      <c r="P11">
        <v>42</v>
      </c>
      <c r="Q11">
        <v>44</v>
      </c>
      <c r="R11">
        <v>45</v>
      </c>
      <c r="S11">
        <v>46</v>
      </c>
      <c r="T11">
        <v>49</v>
      </c>
      <c r="U11">
        <v>51</v>
      </c>
      <c r="V11">
        <v>52</v>
      </c>
      <c r="W11">
        <v>55</v>
      </c>
      <c r="X11">
        <v>60</v>
      </c>
      <c r="Y11">
        <v>66</v>
      </c>
      <c r="Z11">
        <v>68</v>
      </c>
      <c r="AA11">
        <v>70</v>
      </c>
      <c r="AB11">
        <v>73</v>
      </c>
      <c r="AC11">
        <v>76</v>
      </c>
      <c r="AD11">
        <v>85</v>
      </c>
      <c r="AE11">
        <v>87</v>
      </c>
      <c r="AF11">
        <v>88</v>
      </c>
      <c r="AG11">
        <v>90</v>
      </c>
      <c r="AH11">
        <v>91</v>
      </c>
      <c r="AI11">
        <v>92</v>
      </c>
      <c r="AJ11">
        <v>96</v>
      </c>
      <c r="AK11">
        <v>97</v>
      </c>
      <c r="AL11">
        <v>101</v>
      </c>
      <c r="AM11">
        <v>102</v>
      </c>
      <c r="AN11">
        <v>115</v>
      </c>
      <c r="AO11">
        <v>116</v>
      </c>
      <c r="AP11">
        <v>120</v>
      </c>
      <c r="AQ11">
        <v>121</v>
      </c>
      <c r="AR11">
        <v>124</v>
      </c>
      <c r="AS11">
        <v>126</v>
      </c>
      <c r="AT11">
        <v>129</v>
      </c>
      <c r="AU11">
        <v>134</v>
      </c>
      <c r="AV11">
        <v>139</v>
      </c>
      <c r="AW11">
        <v>144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A2BA7-3973-4F54-88B6-FEF4DF8B2679}">
  <dimension ref="A1:J491"/>
  <sheetViews>
    <sheetView topLeftCell="A183" workbookViewId="0">
      <selection activeCell="J2" sqref="J2:J491"/>
    </sheetView>
  </sheetViews>
  <sheetFormatPr defaultRowHeight="14.25"/>
  <sheetData>
    <row r="1" spans="1:10">
      <c r="A1" s="2">
        <v>3</v>
      </c>
      <c r="C1" s="2">
        <v>3</v>
      </c>
      <c r="G1">
        <v>3</v>
      </c>
      <c r="J1" s="5" t="s">
        <v>16</v>
      </c>
    </row>
    <row r="2" spans="1:10">
      <c r="A2" s="2">
        <v>4</v>
      </c>
      <c r="C2" s="2">
        <v>3</v>
      </c>
      <c r="G2">
        <v>3</v>
      </c>
      <c r="J2">
        <v>3</v>
      </c>
    </row>
    <row r="3" spans="1:10">
      <c r="A3" s="2">
        <v>16</v>
      </c>
      <c r="C3" s="2">
        <v>3</v>
      </c>
      <c r="G3">
        <v>3</v>
      </c>
      <c r="J3">
        <v>3</v>
      </c>
    </row>
    <row r="4" spans="1:10">
      <c r="A4" s="2">
        <v>17</v>
      </c>
      <c r="C4" s="2">
        <v>3</v>
      </c>
      <c r="G4">
        <v>3</v>
      </c>
      <c r="J4">
        <v>3</v>
      </c>
    </row>
    <row r="5" spans="1:10">
      <c r="A5" s="2">
        <v>18</v>
      </c>
      <c r="C5" s="2">
        <v>3</v>
      </c>
      <c r="G5">
        <v>3</v>
      </c>
      <c r="J5">
        <v>3</v>
      </c>
    </row>
    <row r="6" spans="1:10">
      <c r="A6" s="2">
        <v>20</v>
      </c>
      <c r="C6" s="2">
        <v>3</v>
      </c>
      <c r="G6">
        <v>3</v>
      </c>
      <c r="J6">
        <v>3</v>
      </c>
    </row>
    <row r="7" spans="1:10">
      <c r="A7" s="2">
        <v>23</v>
      </c>
      <c r="C7" s="2">
        <v>3</v>
      </c>
      <c r="G7">
        <v>3</v>
      </c>
      <c r="J7">
        <v>3</v>
      </c>
    </row>
    <row r="8" spans="1:10">
      <c r="A8" s="2">
        <v>25</v>
      </c>
      <c r="C8" s="2">
        <v>3</v>
      </c>
      <c r="G8">
        <v>3</v>
      </c>
      <c r="J8">
        <v>3</v>
      </c>
    </row>
    <row r="9" spans="1:10">
      <c r="A9" s="2">
        <v>28</v>
      </c>
      <c r="C9" s="2">
        <v>3</v>
      </c>
      <c r="G9">
        <v>3</v>
      </c>
      <c r="J9">
        <v>3</v>
      </c>
    </row>
    <row r="10" spans="1:10">
      <c r="A10" s="2">
        <v>31</v>
      </c>
      <c r="C10" s="2">
        <v>4</v>
      </c>
      <c r="G10">
        <v>4</v>
      </c>
      <c r="J10">
        <v>3</v>
      </c>
    </row>
    <row r="11" spans="1:10">
      <c r="A11" s="2">
        <v>32</v>
      </c>
      <c r="C11" s="2">
        <v>4</v>
      </c>
      <c r="G11">
        <v>4</v>
      </c>
      <c r="J11">
        <v>3</v>
      </c>
    </row>
    <row r="12" spans="1:10">
      <c r="A12" s="2">
        <v>33</v>
      </c>
      <c r="C12" s="2">
        <v>4</v>
      </c>
      <c r="G12">
        <v>4</v>
      </c>
      <c r="J12">
        <v>4</v>
      </c>
    </row>
    <row r="13" spans="1:10">
      <c r="A13" s="2">
        <v>34</v>
      </c>
      <c r="C13" s="2">
        <v>4</v>
      </c>
      <c r="G13">
        <v>4</v>
      </c>
      <c r="J13">
        <v>4</v>
      </c>
    </row>
    <row r="14" spans="1:10">
      <c r="A14" s="2">
        <v>36</v>
      </c>
      <c r="C14" s="2">
        <v>4</v>
      </c>
      <c r="G14">
        <v>4</v>
      </c>
      <c r="J14">
        <v>4</v>
      </c>
    </row>
    <row r="15" spans="1:10">
      <c r="A15" s="2">
        <v>38</v>
      </c>
      <c r="C15" s="2">
        <v>4</v>
      </c>
      <c r="G15">
        <v>4</v>
      </c>
      <c r="J15">
        <v>4</v>
      </c>
    </row>
    <row r="16" spans="1:10">
      <c r="A16" s="2">
        <v>42</v>
      </c>
      <c r="C16" s="2">
        <v>4</v>
      </c>
      <c r="G16">
        <v>4</v>
      </c>
      <c r="J16">
        <v>4</v>
      </c>
    </row>
    <row r="17" spans="1:10">
      <c r="A17" s="2">
        <v>44</v>
      </c>
      <c r="C17" s="2">
        <v>4</v>
      </c>
      <c r="G17">
        <v>4</v>
      </c>
      <c r="J17">
        <v>4</v>
      </c>
    </row>
    <row r="18" spans="1:10">
      <c r="A18" s="2">
        <v>45</v>
      </c>
      <c r="C18" s="2">
        <v>4</v>
      </c>
      <c r="G18">
        <v>4</v>
      </c>
      <c r="J18">
        <v>4</v>
      </c>
    </row>
    <row r="19" spans="1:10">
      <c r="A19" s="2">
        <v>46</v>
      </c>
      <c r="C19" s="2">
        <v>16</v>
      </c>
      <c r="G19">
        <v>16</v>
      </c>
      <c r="J19">
        <v>4</v>
      </c>
    </row>
    <row r="20" spans="1:10">
      <c r="A20" s="2">
        <v>49</v>
      </c>
      <c r="C20" s="2">
        <v>16</v>
      </c>
      <c r="G20">
        <v>16</v>
      </c>
      <c r="J20">
        <v>4</v>
      </c>
    </row>
    <row r="21" spans="1:10">
      <c r="A21" s="2">
        <v>51</v>
      </c>
      <c r="C21" s="2">
        <v>16</v>
      </c>
      <c r="G21">
        <v>16</v>
      </c>
      <c r="J21">
        <v>4</v>
      </c>
    </row>
    <row r="22" spans="1:10">
      <c r="A22" s="2">
        <v>52</v>
      </c>
      <c r="C22" s="2">
        <v>16</v>
      </c>
      <c r="G22">
        <v>16</v>
      </c>
      <c r="J22">
        <v>16</v>
      </c>
    </row>
    <row r="23" spans="1:10">
      <c r="A23" s="2">
        <v>55</v>
      </c>
      <c r="C23" s="2">
        <v>16</v>
      </c>
      <c r="G23">
        <v>16</v>
      </c>
      <c r="J23">
        <v>16</v>
      </c>
    </row>
    <row r="24" spans="1:10">
      <c r="A24" s="2">
        <v>60</v>
      </c>
      <c r="C24" s="2">
        <v>16</v>
      </c>
      <c r="G24">
        <v>16</v>
      </c>
      <c r="J24">
        <v>16</v>
      </c>
    </row>
    <row r="25" spans="1:10">
      <c r="A25" s="2">
        <v>66</v>
      </c>
      <c r="C25" s="2">
        <v>16</v>
      </c>
      <c r="G25">
        <v>16</v>
      </c>
      <c r="J25">
        <v>16</v>
      </c>
    </row>
    <row r="26" spans="1:10">
      <c r="A26" s="2">
        <v>68</v>
      </c>
      <c r="C26" s="2">
        <v>16</v>
      </c>
      <c r="G26">
        <v>16</v>
      </c>
      <c r="J26">
        <v>16</v>
      </c>
    </row>
    <row r="27" spans="1:10">
      <c r="A27" s="2">
        <v>70</v>
      </c>
      <c r="C27" s="2">
        <v>16</v>
      </c>
      <c r="G27">
        <v>16</v>
      </c>
      <c r="J27">
        <v>16</v>
      </c>
    </row>
    <row r="28" spans="1:10">
      <c r="A28" s="2">
        <v>73</v>
      </c>
      <c r="C28" s="2">
        <v>17</v>
      </c>
      <c r="G28">
        <v>17</v>
      </c>
      <c r="J28">
        <v>16</v>
      </c>
    </row>
    <row r="29" spans="1:10">
      <c r="A29" s="2">
        <v>76</v>
      </c>
      <c r="C29" s="2">
        <v>17</v>
      </c>
      <c r="G29">
        <v>17</v>
      </c>
      <c r="J29">
        <v>16</v>
      </c>
    </row>
    <row r="30" spans="1:10">
      <c r="A30" s="2">
        <v>85</v>
      </c>
      <c r="C30" s="2">
        <v>17</v>
      </c>
      <c r="G30">
        <v>17</v>
      </c>
      <c r="J30">
        <v>16</v>
      </c>
    </row>
    <row r="31" spans="1:10">
      <c r="A31" s="2">
        <v>87</v>
      </c>
      <c r="C31" s="2">
        <v>17</v>
      </c>
      <c r="G31">
        <v>17</v>
      </c>
      <c r="J31">
        <v>16</v>
      </c>
    </row>
    <row r="32" spans="1:10">
      <c r="A32" s="2">
        <v>88</v>
      </c>
      <c r="C32" s="2">
        <v>17</v>
      </c>
      <c r="G32">
        <v>17</v>
      </c>
      <c r="J32">
        <v>17</v>
      </c>
    </row>
    <row r="33" spans="1:10">
      <c r="A33" s="2">
        <v>90</v>
      </c>
      <c r="C33" s="2">
        <v>17</v>
      </c>
      <c r="G33">
        <v>17</v>
      </c>
      <c r="J33">
        <v>17</v>
      </c>
    </row>
    <row r="34" spans="1:10">
      <c r="A34" s="2">
        <v>91</v>
      </c>
      <c r="C34" s="2">
        <v>17</v>
      </c>
      <c r="G34">
        <v>17</v>
      </c>
      <c r="J34">
        <v>17</v>
      </c>
    </row>
    <row r="35" spans="1:10">
      <c r="A35" s="2">
        <v>92</v>
      </c>
      <c r="C35" s="2">
        <v>17</v>
      </c>
      <c r="G35">
        <v>17</v>
      </c>
      <c r="J35">
        <v>17</v>
      </c>
    </row>
    <row r="36" spans="1:10">
      <c r="A36" s="2">
        <v>96</v>
      </c>
      <c r="C36" s="2">
        <v>17</v>
      </c>
      <c r="G36">
        <v>17</v>
      </c>
      <c r="J36">
        <v>17</v>
      </c>
    </row>
    <row r="37" spans="1:10">
      <c r="A37" s="2">
        <v>97</v>
      </c>
      <c r="C37" s="2">
        <v>18</v>
      </c>
      <c r="G37">
        <v>18</v>
      </c>
      <c r="J37">
        <v>17</v>
      </c>
    </row>
    <row r="38" spans="1:10">
      <c r="A38" s="2">
        <v>101</v>
      </c>
      <c r="C38" s="2">
        <v>18</v>
      </c>
      <c r="G38">
        <v>18</v>
      </c>
      <c r="J38">
        <v>17</v>
      </c>
    </row>
    <row r="39" spans="1:10">
      <c r="A39" s="2">
        <v>102</v>
      </c>
      <c r="C39" s="2">
        <v>18</v>
      </c>
      <c r="G39">
        <v>18</v>
      </c>
      <c r="J39">
        <v>17</v>
      </c>
    </row>
    <row r="40" spans="1:10">
      <c r="A40" s="2">
        <v>115</v>
      </c>
      <c r="C40" s="2">
        <v>18</v>
      </c>
      <c r="G40">
        <v>18</v>
      </c>
      <c r="J40">
        <v>17</v>
      </c>
    </row>
    <row r="41" spans="1:10">
      <c r="A41" s="2">
        <v>116</v>
      </c>
      <c r="C41" s="2">
        <v>18</v>
      </c>
      <c r="G41">
        <v>18</v>
      </c>
      <c r="J41">
        <v>17</v>
      </c>
    </row>
    <row r="42" spans="1:10">
      <c r="A42" s="2">
        <v>120</v>
      </c>
      <c r="C42" s="2">
        <v>18</v>
      </c>
      <c r="G42">
        <v>18</v>
      </c>
      <c r="J42">
        <v>18</v>
      </c>
    </row>
    <row r="43" spans="1:10">
      <c r="A43" s="2">
        <v>121</v>
      </c>
      <c r="C43" s="2">
        <v>18</v>
      </c>
      <c r="G43">
        <v>18</v>
      </c>
      <c r="J43">
        <v>18</v>
      </c>
    </row>
    <row r="44" spans="1:10">
      <c r="A44" s="2">
        <v>124</v>
      </c>
      <c r="C44" s="2">
        <v>18</v>
      </c>
      <c r="G44">
        <v>18</v>
      </c>
      <c r="J44">
        <v>18</v>
      </c>
    </row>
    <row r="45" spans="1:10">
      <c r="A45" s="2">
        <v>126</v>
      </c>
      <c r="C45" s="2">
        <v>18</v>
      </c>
      <c r="G45">
        <v>18</v>
      </c>
      <c r="J45">
        <v>18</v>
      </c>
    </row>
    <row r="46" spans="1:10">
      <c r="A46" s="2">
        <v>129</v>
      </c>
      <c r="C46" s="2">
        <v>20</v>
      </c>
      <c r="G46">
        <v>20</v>
      </c>
      <c r="J46">
        <v>18</v>
      </c>
    </row>
    <row r="47" spans="1:10">
      <c r="A47" s="2">
        <v>134</v>
      </c>
      <c r="C47" s="2">
        <v>20</v>
      </c>
      <c r="G47">
        <v>20</v>
      </c>
      <c r="J47">
        <v>18</v>
      </c>
    </row>
    <row r="48" spans="1:10">
      <c r="A48" s="2">
        <v>139</v>
      </c>
      <c r="C48" s="2">
        <v>20</v>
      </c>
      <c r="G48">
        <v>20</v>
      </c>
      <c r="J48">
        <v>18</v>
      </c>
    </row>
    <row r="49" spans="1:10">
      <c r="A49" s="2">
        <v>144</v>
      </c>
      <c r="C49" s="2">
        <v>20</v>
      </c>
      <c r="G49">
        <v>20</v>
      </c>
      <c r="J49">
        <v>18</v>
      </c>
    </row>
    <row r="50" spans="1:10">
      <c r="A50" s="2">
        <v>3</v>
      </c>
      <c r="C50" s="2">
        <v>20</v>
      </c>
      <c r="G50">
        <v>20</v>
      </c>
      <c r="J50">
        <v>18</v>
      </c>
    </row>
    <row r="51" spans="1:10">
      <c r="A51" s="2">
        <v>4</v>
      </c>
      <c r="C51" s="2">
        <v>20</v>
      </c>
      <c r="G51">
        <v>20</v>
      </c>
      <c r="J51">
        <v>18</v>
      </c>
    </row>
    <row r="52" spans="1:10">
      <c r="A52" s="2">
        <v>16</v>
      </c>
      <c r="C52" s="2">
        <v>20</v>
      </c>
      <c r="G52">
        <v>20</v>
      </c>
      <c r="J52">
        <v>20</v>
      </c>
    </row>
    <row r="53" spans="1:10">
      <c r="A53" s="2">
        <v>17</v>
      </c>
      <c r="C53" s="2">
        <v>20</v>
      </c>
      <c r="G53">
        <v>20</v>
      </c>
      <c r="J53">
        <v>20</v>
      </c>
    </row>
    <row r="54" spans="1:10">
      <c r="A54" s="2">
        <v>18</v>
      </c>
      <c r="C54" s="2">
        <v>20</v>
      </c>
      <c r="G54">
        <v>20</v>
      </c>
      <c r="J54">
        <v>20</v>
      </c>
    </row>
    <row r="55" spans="1:10">
      <c r="A55" s="2">
        <v>20</v>
      </c>
      <c r="C55" s="2">
        <v>23</v>
      </c>
      <c r="G55">
        <v>23</v>
      </c>
      <c r="J55">
        <v>20</v>
      </c>
    </row>
    <row r="56" spans="1:10">
      <c r="A56" s="2">
        <v>23</v>
      </c>
      <c r="C56" s="2">
        <v>23</v>
      </c>
      <c r="G56">
        <v>23</v>
      </c>
      <c r="J56">
        <v>20</v>
      </c>
    </row>
    <row r="57" spans="1:10">
      <c r="A57" s="2">
        <v>25</v>
      </c>
      <c r="C57" s="2">
        <v>23</v>
      </c>
      <c r="G57">
        <v>23</v>
      </c>
      <c r="J57">
        <v>20</v>
      </c>
    </row>
    <row r="58" spans="1:10">
      <c r="A58" s="2">
        <v>28</v>
      </c>
      <c r="C58" s="2">
        <v>23</v>
      </c>
      <c r="G58">
        <v>23</v>
      </c>
      <c r="J58">
        <v>20</v>
      </c>
    </row>
    <row r="59" spans="1:10">
      <c r="A59" s="2">
        <v>31</v>
      </c>
      <c r="C59" s="2">
        <v>23</v>
      </c>
      <c r="G59">
        <v>23</v>
      </c>
      <c r="J59">
        <v>20</v>
      </c>
    </row>
    <row r="60" spans="1:10">
      <c r="A60" s="2">
        <v>32</v>
      </c>
      <c r="C60" s="2">
        <v>23</v>
      </c>
      <c r="G60">
        <v>23</v>
      </c>
      <c r="J60">
        <v>20</v>
      </c>
    </row>
    <row r="61" spans="1:10">
      <c r="A61" s="2">
        <v>33</v>
      </c>
      <c r="C61" s="2">
        <v>23</v>
      </c>
      <c r="G61">
        <v>23</v>
      </c>
      <c r="J61">
        <v>20</v>
      </c>
    </row>
    <row r="62" spans="1:10">
      <c r="A62" s="2">
        <v>34</v>
      </c>
      <c r="C62" s="2">
        <v>23</v>
      </c>
      <c r="G62">
        <v>23</v>
      </c>
      <c r="J62">
        <v>23</v>
      </c>
    </row>
    <row r="63" spans="1:10">
      <c r="A63" s="2">
        <v>36</v>
      </c>
      <c r="C63" s="2">
        <v>23</v>
      </c>
      <c r="G63">
        <v>23</v>
      </c>
      <c r="J63">
        <v>23</v>
      </c>
    </row>
    <row r="64" spans="1:10">
      <c r="A64" s="2">
        <v>38</v>
      </c>
      <c r="C64" s="2">
        <v>25</v>
      </c>
      <c r="G64">
        <v>25</v>
      </c>
      <c r="J64">
        <v>23</v>
      </c>
    </row>
    <row r="65" spans="1:10">
      <c r="A65" s="2">
        <v>42</v>
      </c>
      <c r="C65" s="2">
        <v>25</v>
      </c>
      <c r="G65">
        <v>25</v>
      </c>
      <c r="J65">
        <v>23</v>
      </c>
    </row>
    <row r="66" spans="1:10">
      <c r="A66" s="2">
        <v>44</v>
      </c>
      <c r="C66" s="2">
        <v>25</v>
      </c>
      <c r="G66">
        <v>25</v>
      </c>
      <c r="J66">
        <v>23</v>
      </c>
    </row>
    <row r="67" spans="1:10">
      <c r="A67" s="2">
        <v>45</v>
      </c>
      <c r="C67" s="2">
        <v>25</v>
      </c>
      <c r="G67">
        <v>25</v>
      </c>
      <c r="J67">
        <v>23</v>
      </c>
    </row>
    <row r="68" spans="1:10">
      <c r="A68" s="2">
        <v>46</v>
      </c>
      <c r="C68" s="2">
        <v>25</v>
      </c>
      <c r="G68">
        <v>25</v>
      </c>
      <c r="J68">
        <v>23</v>
      </c>
    </row>
    <row r="69" spans="1:10">
      <c r="A69" s="2">
        <v>49</v>
      </c>
      <c r="C69" s="2">
        <v>25</v>
      </c>
      <c r="G69">
        <v>25</v>
      </c>
      <c r="J69">
        <v>23</v>
      </c>
    </row>
    <row r="70" spans="1:10">
      <c r="A70" s="2">
        <v>51</v>
      </c>
      <c r="C70" s="2">
        <v>25</v>
      </c>
      <c r="G70">
        <v>25</v>
      </c>
      <c r="J70">
        <v>23</v>
      </c>
    </row>
    <row r="71" spans="1:10">
      <c r="A71" s="2">
        <v>52</v>
      </c>
      <c r="C71" s="2">
        <v>25</v>
      </c>
      <c r="G71">
        <v>25</v>
      </c>
      <c r="J71">
        <v>23</v>
      </c>
    </row>
    <row r="72" spans="1:10">
      <c r="A72" s="2">
        <v>55</v>
      </c>
      <c r="C72" s="2">
        <v>25</v>
      </c>
      <c r="G72">
        <v>25</v>
      </c>
      <c r="J72">
        <v>25</v>
      </c>
    </row>
    <row r="73" spans="1:10">
      <c r="A73" s="2">
        <v>60</v>
      </c>
      <c r="C73" s="2">
        <v>28</v>
      </c>
      <c r="G73">
        <v>28</v>
      </c>
      <c r="J73">
        <v>25</v>
      </c>
    </row>
    <row r="74" spans="1:10">
      <c r="A74" s="2">
        <v>66</v>
      </c>
      <c r="C74" s="2">
        <v>28</v>
      </c>
      <c r="G74">
        <v>28</v>
      </c>
      <c r="J74">
        <v>25</v>
      </c>
    </row>
    <row r="75" spans="1:10">
      <c r="A75" s="2">
        <v>68</v>
      </c>
      <c r="C75" s="2">
        <v>28</v>
      </c>
      <c r="G75">
        <v>28</v>
      </c>
      <c r="J75">
        <v>25</v>
      </c>
    </row>
    <row r="76" spans="1:10">
      <c r="A76" s="2">
        <v>70</v>
      </c>
      <c r="C76" s="2">
        <v>28</v>
      </c>
      <c r="G76">
        <v>28</v>
      </c>
      <c r="J76">
        <v>25</v>
      </c>
    </row>
    <row r="77" spans="1:10">
      <c r="A77" s="2">
        <v>73</v>
      </c>
      <c r="C77" s="2">
        <v>28</v>
      </c>
      <c r="G77">
        <v>28</v>
      </c>
      <c r="J77">
        <v>25</v>
      </c>
    </row>
    <row r="78" spans="1:10">
      <c r="A78" s="2">
        <v>76</v>
      </c>
      <c r="C78" s="2">
        <v>28</v>
      </c>
      <c r="G78">
        <v>28</v>
      </c>
      <c r="J78">
        <v>25</v>
      </c>
    </row>
    <row r="79" spans="1:10">
      <c r="A79" s="2">
        <v>85</v>
      </c>
      <c r="C79" s="2">
        <v>28</v>
      </c>
      <c r="G79">
        <v>28</v>
      </c>
      <c r="J79">
        <v>25</v>
      </c>
    </row>
    <row r="80" spans="1:10">
      <c r="A80" s="2">
        <v>87</v>
      </c>
      <c r="C80" s="2">
        <v>28</v>
      </c>
      <c r="G80">
        <v>28</v>
      </c>
      <c r="J80">
        <v>25</v>
      </c>
    </row>
    <row r="81" spans="1:10">
      <c r="A81" s="2">
        <v>88</v>
      </c>
      <c r="C81" s="2">
        <v>28</v>
      </c>
      <c r="G81">
        <v>28</v>
      </c>
      <c r="J81">
        <v>25</v>
      </c>
    </row>
    <row r="82" spans="1:10">
      <c r="A82" s="2">
        <v>90</v>
      </c>
      <c r="C82" s="2">
        <v>31</v>
      </c>
      <c r="G82">
        <v>31</v>
      </c>
      <c r="J82">
        <v>28</v>
      </c>
    </row>
    <row r="83" spans="1:10">
      <c r="A83" s="2">
        <v>91</v>
      </c>
      <c r="C83" s="2">
        <v>31</v>
      </c>
      <c r="G83">
        <v>31</v>
      </c>
      <c r="J83">
        <v>28</v>
      </c>
    </row>
    <row r="84" spans="1:10">
      <c r="A84" s="2">
        <v>92</v>
      </c>
      <c r="C84" s="2">
        <v>31</v>
      </c>
      <c r="G84">
        <v>31</v>
      </c>
      <c r="J84">
        <v>28</v>
      </c>
    </row>
    <row r="85" spans="1:10">
      <c r="A85" s="2">
        <v>96</v>
      </c>
      <c r="C85" s="2">
        <v>31</v>
      </c>
      <c r="G85">
        <v>31</v>
      </c>
      <c r="J85">
        <v>28</v>
      </c>
    </row>
    <row r="86" spans="1:10">
      <c r="A86" s="2">
        <v>97</v>
      </c>
      <c r="C86" s="2">
        <v>31</v>
      </c>
      <c r="G86">
        <v>31</v>
      </c>
      <c r="J86">
        <v>28</v>
      </c>
    </row>
    <row r="87" spans="1:10">
      <c r="A87" s="2">
        <v>101</v>
      </c>
      <c r="C87" s="2">
        <v>31</v>
      </c>
      <c r="G87">
        <v>31</v>
      </c>
      <c r="J87">
        <v>28</v>
      </c>
    </row>
    <row r="88" spans="1:10">
      <c r="A88" s="2">
        <v>102</v>
      </c>
      <c r="C88" s="2">
        <v>31</v>
      </c>
      <c r="G88">
        <v>31</v>
      </c>
      <c r="J88">
        <v>28</v>
      </c>
    </row>
    <row r="89" spans="1:10">
      <c r="A89" s="2">
        <v>115</v>
      </c>
      <c r="C89" s="2">
        <v>31</v>
      </c>
      <c r="G89">
        <v>31</v>
      </c>
      <c r="J89">
        <v>28</v>
      </c>
    </row>
    <row r="90" spans="1:10">
      <c r="A90" s="2">
        <v>116</v>
      </c>
      <c r="C90" s="2">
        <v>31</v>
      </c>
      <c r="G90">
        <v>31</v>
      </c>
      <c r="J90">
        <v>28</v>
      </c>
    </row>
    <row r="91" spans="1:10">
      <c r="A91" s="2">
        <v>120</v>
      </c>
      <c r="C91" s="2">
        <v>32</v>
      </c>
      <c r="G91">
        <v>32</v>
      </c>
      <c r="J91">
        <v>28</v>
      </c>
    </row>
    <row r="92" spans="1:10">
      <c r="A92" s="2">
        <v>121</v>
      </c>
      <c r="C92" s="2">
        <v>32</v>
      </c>
      <c r="G92">
        <v>32</v>
      </c>
      <c r="J92">
        <v>31</v>
      </c>
    </row>
    <row r="93" spans="1:10">
      <c r="A93" s="2">
        <v>124</v>
      </c>
      <c r="C93" s="2">
        <v>32</v>
      </c>
      <c r="G93">
        <v>32</v>
      </c>
      <c r="J93">
        <v>31</v>
      </c>
    </row>
    <row r="94" spans="1:10">
      <c r="A94" s="2">
        <v>126</v>
      </c>
      <c r="C94" s="2">
        <v>32</v>
      </c>
      <c r="G94">
        <v>32</v>
      </c>
      <c r="J94">
        <v>31</v>
      </c>
    </row>
    <row r="95" spans="1:10">
      <c r="A95" s="2">
        <v>129</v>
      </c>
      <c r="C95" s="2">
        <v>32</v>
      </c>
      <c r="G95">
        <v>32</v>
      </c>
      <c r="J95">
        <v>31</v>
      </c>
    </row>
    <row r="96" spans="1:10">
      <c r="A96" s="2">
        <v>134</v>
      </c>
      <c r="C96" s="2">
        <v>32</v>
      </c>
      <c r="G96">
        <v>32</v>
      </c>
      <c r="J96">
        <v>31</v>
      </c>
    </row>
    <row r="97" spans="1:10">
      <c r="A97" s="2">
        <v>139</v>
      </c>
      <c r="C97" s="2">
        <v>32</v>
      </c>
      <c r="G97">
        <v>32</v>
      </c>
      <c r="J97">
        <v>31</v>
      </c>
    </row>
    <row r="98" spans="1:10">
      <c r="A98" s="2">
        <v>144</v>
      </c>
      <c r="C98" s="2">
        <v>32</v>
      </c>
      <c r="G98">
        <v>32</v>
      </c>
      <c r="J98">
        <v>31</v>
      </c>
    </row>
    <row r="99" spans="1:10">
      <c r="A99" s="2">
        <v>3</v>
      </c>
      <c r="C99" s="2">
        <v>32</v>
      </c>
      <c r="G99">
        <v>32</v>
      </c>
      <c r="J99">
        <v>31</v>
      </c>
    </row>
    <row r="100" spans="1:10">
      <c r="A100" s="2">
        <v>4</v>
      </c>
      <c r="C100" s="2">
        <v>33</v>
      </c>
      <c r="G100">
        <v>33</v>
      </c>
      <c r="J100">
        <v>31</v>
      </c>
    </row>
    <row r="101" spans="1:10">
      <c r="A101" s="2">
        <v>16</v>
      </c>
      <c r="C101" s="2">
        <v>33</v>
      </c>
      <c r="G101">
        <v>33</v>
      </c>
      <c r="J101">
        <v>31</v>
      </c>
    </row>
    <row r="102" spans="1:10">
      <c r="A102" s="2">
        <v>17</v>
      </c>
      <c r="C102" s="2">
        <v>33</v>
      </c>
      <c r="G102">
        <v>33</v>
      </c>
      <c r="J102">
        <v>32</v>
      </c>
    </row>
    <row r="103" spans="1:10">
      <c r="A103" s="2">
        <v>18</v>
      </c>
      <c r="C103" s="2">
        <v>33</v>
      </c>
      <c r="G103">
        <v>33</v>
      </c>
      <c r="J103">
        <v>32</v>
      </c>
    </row>
    <row r="104" spans="1:10">
      <c r="A104" s="2">
        <v>20</v>
      </c>
      <c r="C104" s="2">
        <v>33</v>
      </c>
      <c r="G104">
        <v>33</v>
      </c>
      <c r="J104">
        <v>32</v>
      </c>
    </row>
    <row r="105" spans="1:10">
      <c r="A105" s="2">
        <v>23</v>
      </c>
      <c r="C105" s="2">
        <v>33</v>
      </c>
      <c r="G105">
        <v>33</v>
      </c>
      <c r="J105">
        <v>32</v>
      </c>
    </row>
    <row r="106" spans="1:10">
      <c r="A106" s="2">
        <v>25</v>
      </c>
      <c r="C106" s="2">
        <v>33</v>
      </c>
      <c r="G106">
        <v>33</v>
      </c>
      <c r="J106">
        <v>32</v>
      </c>
    </row>
    <row r="107" spans="1:10">
      <c r="A107" s="2">
        <v>28</v>
      </c>
      <c r="C107" s="2">
        <v>33</v>
      </c>
      <c r="G107">
        <v>33</v>
      </c>
      <c r="J107">
        <v>32</v>
      </c>
    </row>
    <row r="108" spans="1:10">
      <c r="A108" s="2">
        <v>31</v>
      </c>
      <c r="C108" s="2">
        <v>33</v>
      </c>
      <c r="G108">
        <v>33</v>
      </c>
      <c r="J108">
        <v>32</v>
      </c>
    </row>
    <row r="109" spans="1:10">
      <c r="A109" s="2">
        <v>32</v>
      </c>
      <c r="C109" s="2">
        <v>34</v>
      </c>
      <c r="G109">
        <v>34</v>
      </c>
      <c r="J109">
        <v>32</v>
      </c>
    </row>
    <row r="110" spans="1:10">
      <c r="A110" s="2">
        <v>33</v>
      </c>
      <c r="C110" s="2">
        <v>34</v>
      </c>
      <c r="G110">
        <v>34</v>
      </c>
      <c r="J110">
        <v>32</v>
      </c>
    </row>
    <row r="111" spans="1:10">
      <c r="A111" s="2">
        <v>34</v>
      </c>
      <c r="C111" s="2">
        <v>34</v>
      </c>
      <c r="G111">
        <v>34</v>
      </c>
      <c r="J111">
        <v>32</v>
      </c>
    </row>
    <row r="112" spans="1:10">
      <c r="A112" s="2">
        <v>36</v>
      </c>
      <c r="C112" s="2">
        <v>34</v>
      </c>
      <c r="G112">
        <v>34</v>
      </c>
      <c r="J112">
        <v>33</v>
      </c>
    </row>
    <row r="113" spans="1:10">
      <c r="A113" s="2">
        <v>38</v>
      </c>
      <c r="C113" s="2">
        <v>34</v>
      </c>
      <c r="G113">
        <v>34</v>
      </c>
      <c r="J113">
        <v>33</v>
      </c>
    </row>
    <row r="114" spans="1:10">
      <c r="A114" s="2">
        <v>42</v>
      </c>
      <c r="C114" s="2">
        <v>34</v>
      </c>
      <c r="G114">
        <v>34</v>
      </c>
      <c r="J114">
        <v>33</v>
      </c>
    </row>
    <row r="115" spans="1:10">
      <c r="A115" s="2">
        <v>44</v>
      </c>
      <c r="C115" s="2">
        <v>34</v>
      </c>
      <c r="G115">
        <v>34</v>
      </c>
      <c r="J115">
        <v>33</v>
      </c>
    </row>
    <row r="116" spans="1:10">
      <c r="A116" s="2">
        <v>45</v>
      </c>
      <c r="C116" s="2">
        <v>34</v>
      </c>
      <c r="G116">
        <v>34</v>
      </c>
      <c r="J116">
        <v>33</v>
      </c>
    </row>
    <row r="117" spans="1:10">
      <c r="A117" s="2">
        <v>46</v>
      </c>
      <c r="C117" s="2">
        <v>34</v>
      </c>
      <c r="G117">
        <v>34</v>
      </c>
      <c r="J117">
        <v>33</v>
      </c>
    </row>
    <row r="118" spans="1:10">
      <c r="A118" s="2">
        <v>49</v>
      </c>
      <c r="C118" s="2">
        <v>36</v>
      </c>
      <c r="G118">
        <v>36</v>
      </c>
      <c r="J118">
        <v>33</v>
      </c>
    </row>
    <row r="119" spans="1:10">
      <c r="A119" s="2">
        <v>51</v>
      </c>
      <c r="C119" s="2">
        <v>36</v>
      </c>
      <c r="G119">
        <v>36</v>
      </c>
      <c r="J119">
        <v>33</v>
      </c>
    </row>
    <row r="120" spans="1:10">
      <c r="A120" s="2">
        <v>52</v>
      </c>
      <c r="C120" s="2">
        <v>36</v>
      </c>
      <c r="G120">
        <v>36</v>
      </c>
      <c r="J120">
        <v>33</v>
      </c>
    </row>
    <row r="121" spans="1:10">
      <c r="A121" s="2">
        <v>55</v>
      </c>
      <c r="C121" s="2">
        <v>36</v>
      </c>
      <c r="G121">
        <v>36</v>
      </c>
      <c r="J121">
        <v>33</v>
      </c>
    </row>
    <row r="122" spans="1:10">
      <c r="A122" s="2">
        <v>60</v>
      </c>
      <c r="C122" s="2">
        <v>36</v>
      </c>
      <c r="G122">
        <v>36</v>
      </c>
      <c r="J122">
        <v>34</v>
      </c>
    </row>
    <row r="123" spans="1:10">
      <c r="A123" s="2">
        <v>66</v>
      </c>
      <c r="C123" s="2">
        <v>36</v>
      </c>
      <c r="G123">
        <v>36</v>
      </c>
      <c r="J123">
        <v>34</v>
      </c>
    </row>
    <row r="124" spans="1:10">
      <c r="A124" s="2">
        <v>68</v>
      </c>
      <c r="C124" s="2">
        <v>36</v>
      </c>
      <c r="G124">
        <v>36</v>
      </c>
      <c r="J124">
        <v>34</v>
      </c>
    </row>
    <row r="125" spans="1:10">
      <c r="A125" s="2">
        <v>70</v>
      </c>
      <c r="C125" s="2">
        <v>36</v>
      </c>
      <c r="G125">
        <v>36</v>
      </c>
      <c r="J125">
        <v>34</v>
      </c>
    </row>
    <row r="126" spans="1:10">
      <c r="A126" s="2">
        <v>73</v>
      </c>
      <c r="C126" s="2">
        <v>36</v>
      </c>
      <c r="G126">
        <v>36</v>
      </c>
      <c r="J126">
        <v>34</v>
      </c>
    </row>
    <row r="127" spans="1:10">
      <c r="A127" s="2">
        <v>76</v>
      </c>
      <c r="C127" s="2">
        <v>38</v>
      </c>
      <c r="G127">
        <v>38</v>
      </c>
      <c r="J127">
        <v>34</v>
      </c>
    </row>
    <row r="128" spans="1:10">
      <c r="A128" s="2">
        <v>85</v>
      </c>
      <c r="C128" s="2">
        <v>38</v>
      </c>
      <c r="G128">
        <v>38</v>
      </c>
      <c r="J128">
        <v>34</v>
      </c>
    </row>
    <row r="129" spans="1:10">
      <c r="A129" s="2">
        <v>87</v>
      </c>
      <c r="C129" s="2">
        <v>38</v>
      </c>
      <c r="G129">
        <v>38</v>
      </c>
      <c r="J129">
        <v>34</v>
      </c>
    </row>
    <row r="130" spans="1:10">
      <c r="A130" s="2">
        <v>88</v>
      </c>
      <c r="C130" s="2">
        <v>38</v>
      </c>
      <c r="G130">
        <v>38</v>
      </c>
      <c r="J130">
        <v>34</v>
      </c>
    </row>
    <row r="131" spans="1:10">
      <c r="A131" s="2">
        <v>90</v>
      </c>
      <c r="C131" s="2">
        <v>38</v>
      </c>
      <c r="G131">
        <v>38</v>
      </c>
      <c r="J131">
        <v>34</v>
      </c>
    </row>
    <row r="132" spans="1:10">
      <c r="A132" s="2">
        <v>91</v>
      </c>
      <c r="C132" s="2">
        <v>38</v>
      </c>
      <c r="G132">
        <v>38</v>
      </c>
      <c r="J132">
        <v>36</v>
      </c>
    </row>
    <row r="133" spans="1:10">
      <c r="A133" s="2">
        <v>92</v>
      </c>
      <c r="C133" s="2">
        <v>38</v>
      </c>
      <c r="G133">
        <v>38</v>
      </c>
      <c r="J133">
        <v>36</v>
      </c>
    </row>
    <row r="134" spans="1:10">
      <c r="A134" s="2">
        <v>96</v>
      </c>
      <c r="C134" s="2">
        <v>38</v>
      </c>
      <c r="G134">
        <v>38</v>
      </c>
      <c r="J134">
        <v>36</v>
      </c>
    </row>
    <row r="135" spans="1:10">
      <c r="A135" s="2">
        <v>97</v>
      </c>
      <c r="C135" s="2">
        <v>38</v>
      </c>
      <c r="G135">
        <v>38</v>
      </c>
      <c r="J135">
        <v>36</v>
      </c>
    </row>
    <row r="136" spans="1:10">
      <c r="A136" s="2">
        <v>101</v>
      </c>
      <c r="C136" s="2">
        <v>42</v>
      </c>
      <c r="G136">
        <v>42</v>
      </c>
      <c r="J136">
        <v>36</v>
      </c>
    </row>
    <row r="137" spans="1:10">
      <c r="A137" s="2">
        <v>102</v>
      </c>
      <c r="C137" s="2">
        <v>42</v>
      </c>
      <c r="G137">
        <v>42</v>
      </c>
      <c r="J137">
        <v>36</v>
      </c>
    </row>
    <row r="138" spans="1:10">
      <c r="A138" s="2">
        <v>115</v>
      </c>
      <c r="C138" s="2">
        <v>42</v>
      </c>
      <c r="G138">
        <v>42</v>
      </c>
      <c r="J138">
        <v>36</v>
      </c>
    </row>
    <row r="139" spans="1:10">
      <c r="A139" s="2">
        <v>116</v>
      </c>
      <c r="C139" s="2">
        <v>42</v>
      </c>
      <c r="G139">
        <v>42</v>
      </c>
      <c r="J139">
        <v>36</v>
      </c>
    </row>
    <row r="140" spans="1:10">
      <c r="A140" s="2">
        <v>120</v>
      </c>
      <c r="C140" s="2">
        <v>42</v>
      </c>
      <c r="G140">
        <v>42</v>
      </c>
      <c r="J140">
        <v>36</v>
      </c>
    </row>
    <row r="141" spans="1:10">
      <c r="A141" s="2">
        <v>121</v>
      </c>
      <c r="C141" s="2">
        <v>42</v>
      </c>
      <c r="G141">
        <v>42</v>
      </c>
      <c r="J141">
        <v>36</v>
      </c>
    </row>
    <row r="142" spans="1:10">
      <c r="A142" s="2">
        <v>124</v>
      </c>
      <c r="C142" s="2">
        <v>42</v>
      </c>
      <c r="G142">
        <v>42</v>
      </c>
      <c r="J142">
        <v>38</v>
      </c>
    </row>
    <row r="143" spans="1:10">
      <c r="A143" s="2">
        <v>126</v>
      </c>
      <c r="C143" s="2">
        <v>42</v>
      </c>
      <c r="G143">
        <v>42</v>
      </c>
      <c r="J143">
        <v>38</v>
      </c>
    </row>
    <row r="144" spans="1:10">
      <c r="A144" s="2">
        <v>129</v>
      </c>
      <c r="C144" s="2">
        <v>42</v>
      </c>
      <c r="G144">
        <v>42</v>
      </c>
      <c r="J144">
        <v>38</v>
      </c>
    </row>
    <row r="145" spans="1:10">
      <c r="A145" s="2">
        <v>134</v>
      </c>
      <c r="C145" s="2">
        <v>44</v>
      </c>
      <c r="G145">
        <v>44</v>
      </c>
      <c r="J145">
        <v>38</v>
      </c>
    </row>
    <row r="146" spans="1:10">
      <c r="A146" s="2">
        <v>139</v>
      </c>
      <c r="C146" s="2">
        <v>44</v>
      </c>
      <c r="G146">
        <v>44</v>
      </c>
      <c r="J146">
        <v>38</v>
      </c>
    </row>
    <row r="147" spans="1:10">
      <c r="A147" s="2">
        <v>144</v>
      </c>
      <c r="C147" s="2">
        <v>44</v>
      </c>
      <c r="G147">
        <v>44</v>
      </c>
      <c r="J147">
        <v>38</v>
      </c>
    </row>
    <row r="148" spans="1:10">
      <c r="A148" s="2" t="s">
        <v>14</v>
      </c>
      <c r="C148" s="2">
        <v>44</v>
      </c>
      <c r="G148">
        <v>44</v>
      </c>
      <c r="J148">
        <v>38</v>
      </c>
    </row>
    <row r="149" spans="1:10">
      <c r="A149" s="1"/>
      <c r="C149" s="2">
        <v>44</v>
      </c>
      <c r="G149">
        <v>44</v>
      </c>
      <c r="J149">
        <v>38</v>
      </c>
    </row>
    <row r="150" spans="1:10">
      <c r="A150" s="3" t="s">
        <v>15</v>
      </c>
      <c r="C150" s="2">
        <v>44</v>
      </c>
      <c r="G150">
        <v>44</v>
      </c>
      <c r="J150">
        <v>38</v>
      </c>
    </row>
    <row r="151" spans="1:10">
      <c r="C151" s="2">
        <v>44</v>
      </c>
      <c r="G151">
        <v>44</v>
      </c>
      <c r="J151">
        <v>38</v>
      </c>
    </row>
    <row r="152" spans="1:10">
      <c r="C152" s="2">
        <v>44</v>
      </c>
      <c r="G152">
        <v>44</v>
      </c>
      <c r="J152">
        <v>42</v>
      </c>
    </row>
    <row r="153" spans="1:10">
      <c r="C153" s="2">
        <v>44</v>
      </c>
      <c r="G153">
        <v>44</v>
      </c>
      <c r="J153">
        <v>42</v>
      </c>
    </row>
    <row r="154" spans="1:10">
      <c r="C154" s="2">
        <v>45</v>
      </c>
      <c r="G154">
        <v>45</v>
      </c>
      <c r="J154">
        <v>42</v>
      </c>
    </row>
    <row r="155" spans="1:10">
      <c r="C155" s="2">
        <v>45</v>
      </c>
      <c r="G155">
        <v>45</v>
      </c>
      <c r="J155">
        <v>42</v>
      </c>
    </row>
    <row r="156" spans="1:10">
      <c r="C156" s="2">
        <v>45</v>
      </c>
      <c r="G156">
        <v>45</v>
      </c>
      <c r="J156">
        <v>42</v>
      </c>
    </row>
    <row r="157" spans="1:10">
      <c r="C157" s="2">
        <v>45</v>
      </c>
      <c r="G157">
        <v>45</v>
      </c>
      <c r="J157">
        <v>42</v>
      </c>
    </row>
    <row r="158" spans="1:10">
      <c r="C158" s="2">
        <v>45</v>
      </c>
      <c r="G158">
        <v>45</v>
      </c>
      <c r="J158">
        <v>42</v>
      </c>
    </row>
    <row r="159" spans="1:10">
      <c r="C159" s="2">
        <v>45</v>
      </c>
      <c r="G159">
        <v>45</v>
      </c>
      <c r="J159">
        <v>42</v>
      </c>
    </row>
    <row r="160" spans="1:10">
      <c r="C160" s="2">
        <v>45</v>
      </c>
      <c r="G160">
        <v>45</v>
      </c>
      <c r="J160">
        <v>42</v>
      </c>
    </row>
    <row r="161" spans="3:10">
      <c r="C161" s="2">
        <v>45</v>
      </c>
      <c r="G161">
        <v>45</v>
      </c>
      <c r="J161">
        <v>42</v>
      </c>
    </row>
    <row r="162" spans="3:10">
      <c r="C162" s="2">
        <v>45</v>
      </c>
      <c r="G162">
        <v>45</v>
      </c>
      <c r="J162">
        <v>44</v>
      </c>
    </row>
    <row r="163" spans="3:10">
      <c r="C163" s="2">
        <v>46</v>
      </c>
      <c r="G163">
        <v>46</v>
      </c>
      <c r="J163">
        <v>44</v>
      </c>
    </row>
    <row r="164" spans="3:10">
      <c r="C164" s="2">
        <v>46</v>
      </c>
      <c r="G164">
        <v>46</v>
      </c>
      <c r="J164">
        <v>44</v>
      </c>
    </row>
    <row r="165" spans="3:10">
      <c r="C165" s="2">
        <v>46</v>
      </c>
      <c r="G165">
        <v>46</v>
      </c>
      <c r="J165">
        <v>44</v>
      </c>
    </row>
    <row r="166" spans="3:10">
      <c r="C166" s="2">
        <v>46</v>
      </c>
      <c r="G166">
        <v>46</v>
      </c>
      <c r="J166">
        <v>44</v>
      </c>
    </row>
    <row r="167" spans="3:10">
      <c r="C167" s="2">
        <v>46</v>
      </c>
      <c r="G167">
        <v>46</v>
      </c>
      <c r="J167">
        <v>44</v>
      </c>
    </row>
    <row r="168" spans="3:10">
      <c r="C168" s="2">
        <v>46</v>
      </c>
      <c r="G168">
        <v>46</v>
      </c>
      <c r="J168">
        <v>44</v>
      </c>
    </row>
    <row r="169" spans="3:10">
      <c r="C169" s="2">
        <v>46</v>
      </c>
      <c r="G169">
        <v>46</v>
      </c>
      <c r="J169">
        <v>44</v>
      </c>
    </row>
    <row r="170" spans="3:10">
      <c r="C170" s="2">
        <v>46</v>
      </c>
      <c r="G170">
        <v>46</v>
      </c>
      <c r="J170">
        <v>44</v>
      </c>
    </row>
    <row r="171" spans="3:10">
      <c r="C171" s="2">
        <v>46</v>
      </c>
      <c r="G171">
        <v>46</v>
      </c>
      <c r="J171">
        <v>44</v>
      </c>
    </row>
    <row r="172" spans="3:10">
      <c r="C172" s="2">
        <v>49</v>
      </c>
      <c r="G172">
        <v>49</v>
      </c>
      <c r="J172">
        <v>45</v>
      </c>
    </row>
    <row r="173" spans="3:10">
      <c r="C173" s="2">
        <v>49</v>
      </c>
      <c r="G173">
        <v>49</v>
      </c>
      <c r="J173">
        <v>45</v>
      </c>
    </row>
    <row r="174" spans="3:10">
      <c r="C174" s="2">
        <v>49</v>
      </c>
      <c r="G174">
        <v>49</v>
      </c>
      <c r="J174">
        <v>45</v>
      </c>
    </row>
    <row r="175" spans="3:10">
      <c r="C175" s="2">
        <v>49</v>
      </c>
      <c r="G175">
        <v>49</v>
      </c>
      <c r="J175">
        <v>45</v>
      </c>
    </row>
    <row r="176" spans="3:10">
      <c r="C176" s="2">
        <v>49</v>
      </c>
      <c r="G176">
        <v>49</v>
      </c>
      <c r="J176">
        <v>45</v>
      </c>
    </row>
    <row r="177" spans="3:10">
      <c r="C177" s="2">
        <v>49</v>
      </c>
      <c r="G177">
        <v>49</v>
      </c>
      <c r="J177">
        <v>45</v>
      </c>
    </row>
    <row r="178" spans="3:10">
      <c r="C178" s="2">
        <v>49</v>
      </c>
      <c r="G178">
        <v>49</v>
      </c>
      <c r="J178">
        <v>45</v>
      </c>
    </row>
    <row r="179" spans="3:10">
      <c r="C179" s="2">
        <v>49</v>
      </c>
      <c r="G179">
        <v>49</v>
      </c>
      <c r="J179">
        <v>45</v>
      </c>
    </row>
    <row r="180" spans="3:10">
      <c r="C180" s="2">
        <v>49</v>
      </c>
      <c r="G180">
        <v>49</v>
      </c>
      <c r="J180">
        <v>45</v>
      </c>
    </row>
    <row r="181" spans="3:10">
      <c r="C181" s="2">
        <v>51</v>
      </c>
      <c r="G181">
        <v>51</v>
      </c>
      <c r="J181">
        <v>45</v>
      </c>
    </row>
    <row r="182" spans="3:10">
      <c r="C182" s="2">
        <v>51</v>
      </c>
      <c r="G182">
        <v>51</v>
      </c>
      <c r="J182">
        <v>46</v>
      </c>
    </row>
    <row r="183" spans="3:10">
      <c r="C183" s="2">
        <v>51</v>
      </c>
      <c r="G183">
        <v>51</v>
      </c>
      <c r="J183">
        <v>46</v>
      </c>
    </row>
    <row r="184" spans="3:10">
      <c r="C184" s="2">
        <v>51</v>
      </c>
      <c r="G184">
        <v>51</v>
      </c>
      <c r="J184">
        <v>46</v>
      </c>
    </row>
    <row r="185" spans="3:10">
      <c r="C185" s="2">
        <v>51</v>
      </c>
      <c r="G185">
        <v>51</v>
      </c>
      <c r="J185">
        <v>46</v>
      </c>
    </row>
    <row r="186" spans="3:10">
      <c r="C186" s="2">
        <v>51</v>
      </c>
      <c r="G186">
        <v>51</v>
      </c>
      <c r="J186">
        <v>46</v>
      </c>
    </row>
    <row r="187" spans="3:10">
      <c r="C187" s="2">
        <v>51</v>
      </c>
      <c r="G187">
        <v>51</v>
      </c>
      <c r="J187">
        <v>46</v>
      </c>
    </row>
    <row r="188" spans="3:10">
      <c r="C188" s="2">
        <v>51</v>
      </c>
      <c r="G188">
        <v>51</v>
      </c>
      <c r="J188">
        <v>46</v>
      </c>
    </row>
    <row r="189" spans="3:10">
      <c r="C189" s="2">
        <v>51</v>
      </c>
      <c r="G189">
        <v>51</v>
      </c>
      <c r="J189">
        <v>46</v>
      </c>
    </row>
    <row r="190" spans="3:10">
      <c r="C190" s="2">
        <v>52</v>
      </c>
      <c r="G190">
        <v>52</v>
      </c>
      <c r="J190">
        <v>46</v>
      </c>
    </row>
    <row r="191" spans="3:10">
      <c r="C191" s="2">
        <v>52</v>
      </c>
      <c r="G191">
        <v>52</v>
      </c>
      <c r="J191">
        <v>46</v>
      </c>
    </row>
    <row r="192" spans="3:10">
      <c r="C192" s="2">
        <v>52</v>
      </c>
      <c r="G192">
        <v>52</v>
      </c>
      <c r="J192">
        <v>49</v>
      </c>
    </row>
    <row r="193" spans="3:10">
      <c r="C193" s="2">
        <v>52</v>
      </c>
      <c r="G193">
        <v>52</v>
      </c>
      <c r="J193">
        <v>49</v>
      </c>
    </row>
    <row r="194" spans="3:10">
      <c r="C194" s="2">
        <v>52</v>
      </c>
      <c r="G194">
        <v>52</v>
      </c>
      <c r="J194">
        <v>49</v>
      </c>
    </row>
    <row r="195" spans="3:10">
      <c r="C195" s="2">
        <v>52</v>
      </c>
      <c r="G195">
        <v>52</v>
      </c>
      <c r="J195">
        <v>49</v>
      </c>
    </row>
    <row r="196" spans="3:10">
      <c r="C196" s="2">
        <v>52</v>
      </c>
      <c r="G196">
        <v>52</v>
      </c>
      <c r="J196">
        <v>49</v>
      </c>
    </row>
    <row r="197" spans="3:10">
      <c r="C197" s="2">
        <v>52</v>
      </c>
      <c r="G197">
        <v>52</v>
      </c>
      <c r="J197">
        <v>49</v>
      </c>
    </row>
    <row r="198" spans="3:10">
      <c r="C198" s="2">
        <v>52</v>
      </c>
      <c r="G198">
        <v>52</v>
      </c>
      <c r="J198">
        <v>49</v>
      </c>
    </row>
    <row r="199" spans="3:10">
      <c r="C199" s="2">
        <v>55</v>
      </c>
      <c r="G199">
        <v>55</v>
      </c>
      <c r="J199">
        <v>49</v>
      </c>
    </row>
    <row r="200" spans="3:10">
      <c r="C200" s="2">
        <v>55</v>
      </c>
      <c r="G200">
        <v>55</v>
      </c>
      <c r="J200">
        <v>49</v>
      </c>
    </row>
    <row r="201" spans="3:10">
      <c r="C201" s="2">
        <v>55</v>
      </c>
      <c r="G201">
        <v>55</v>
      </c>
      <c r="J201">
        <v>49</v>
      </c>
    </row>
    <row r="202" spans="3:10">
      <c r="C202" s="2">
        <v>55</v>
      </c>
      <c r="G202">
        <v>55</v>
      </c>
      <c r="J202">
        <v>51</v>
      </c>
    </row>
    <row r="203" spans="3:10">
      <c r="C203" s="2">
        <v>55</v>
      </c>
      <c r="G203">
        <v>55</v>
      </c>
      <c r="J203">
        <v>51</v>
      </c>
    </row>
    <row r="204" spans="3:10">
      <c r="C204" s="2">
        <v>55</v>
      </c>
      <c r="G204">
        <v>55</v>
      </c>
      <c r="J204">
        <v>51</v>
      </c>
    </row>
    <row r="205" spans="3:10">
      <c r="C205" s="2">
        <v>55</v>
      </c>
      <c r="G205">
        <v>55</v>
      </c>
      <c r="J205">
        <v>51</v>
      </c>
    </row>
    <row r="206" spans="3:10">
      <c r="C206" s="2">
        <v>55</v>
      </c>
      <c r="G206">
        <v>55</v>
      </c>
      <c r="J206">
        <v>51</v>
      </c>
    </row>
    <row r="207" spans="3:10">
      <c r="C207" s="2">
        <v>55</v>
      </c>
      <c r="G207">
        <v>55</v>
      </c>
      <c r="J207">
        <v>51</v>
      </c>
    </row>
    <row r="208" spans="3:10">
      <c r="C208" s="2">
        <v>60</v>
      </c>
      <c r="G208">
        <v>60</v>
      </c>
      <c r="J208">
        <v>51</v>
      </c>
    </row>
    <row r="209" spans="3:10">
      <c r="C209" s="2">
        <v>60</v>
      </c>
      <c r="G209">
        <v>60</v>
      </c>
      <c r="J209">
        <v>51</v>
      </c>
    </row>
    <row r="210" spans="3:10">
      <c r="C210" s="2">
        <v>60</v>
      </c>
      <c r="G210">
        <v>60</v>
      </c>
      <c r="J210">
        <v>51</v>
      </c>
    </row>
    <row r="211" spans="3:10">
      <c r="C211" s="2">
        <v>60</v>
      </c>
      <c r="G211">
        <v>60</v>
      </c>
      <c r="J211">
        <v>51</v>
      </c>
    </row>
    <row r="212" spans="3:10">
      <c r="C212" s="2">
        <v>60</v>
      </c>
      <c r="G212">
        <v>60</v>
      </c>
      <c r="J212">
        <v>52</v>
      </c>
    </row>
    <row r="213" spans="3:10">
      <c r="C213" s="2">
        <v>60</v>
      </c>
      <c r="G213">
        <v>60</v>
      </c>
      <c r="J213">
        <v>52</v>
      </c>
    </row>
    <row r="214" spans="3:10">
      <c r="C214" s="2">
        <v>60</v>
      </c>
      <c r="G214">
        <v>60</v>
      </c>
      <c r="J214">
        <v>52</v>
      </c>
    </row>
    <row r="215" spans="3:10">
      <c r="C215" s="2">
        <v>60</v>
      </c>
      <c r="G215">
        <v>60</v>
      </c>
      <c r="J215">
        <v>52</v>
      </c>
    </row>
    <row r="216" spans="3:10">
      <c r="C216" s="2">
        <v>60</v>
      </c>
      <c r="G216">
        <v>60</v>
      </c>
      <c r="J216">
        <v>52</v>
      </c>
    </row>
    <row r="217" spans="3:10">
      <c r="C217" s="2">
        <v>66</v>
      </c>
      <c r="G217">
        <v>66</v>
      </c>
      <c r="J217">
        <v>52</v>
      </c>
    </row>
    <row r="218" spans="3:10">
      <c r="C218" s="2">
        <v>66</v>
      </c>
      <c r="G218">
        <v>66</v>
      </c>
      <c r="J218">
        <v>52</v>
      </c>
    </row>
    <row r="219" spans="3:10">
      <c r="C219" s="2">
        <v>66</v>
      </c>
      <c r="G219">
        <v>66</v>
      </c>
      <c r="J219">
        <v>52</v>
      </c>
    </row>
    <row r="220" spans="3:10">
      <c r="C220" s="2">
        <v>66</v>
      </c>
      <c r="G220">
        <v>66</v>
      </c>
      <c r="J220">
        <v>52</v>
      </c>
    </row>
    <row r="221" spans="3:10">
      <c r="C221" s="2">
        <v>66</v>
      </c>
      <c r="G221">
        <v>66</v>
      </c>
      <c r="J221">
        <v>52</v>
      </c>
    </row>
    <row r="222" spans="3:10">
      <c r="C222" s="2">
        <v>66</v>
      </c>
      <c r="G222">
        <v>66</v>
      </c>
      <c r="J222">
        <v>55</v>
      </c>
    </row>
    <row r="223" spans="3:10">
      <c r="C223" s="2">
        <v>66</v>
      </c>
      <c r="G223">
        <v>66</v>
      </c>
      <c r="J223">
        <v>55</v>
      </c>
    </row>
    <row r="224" spans="3:10">
      <c r="C224" s="2">
        <v>66</v>
      </c>
      <c r="G224">
        <v>66</v>
      </c>
      <c r="J224">
        <v>55</v>
      </c>
    </row>
    <row r="225" spans="3:10">
      <c r="C225" s="2">
        <v>66</v>
      </c>
      <c r="G225">
        <v>66</v>
      </c>
      <c r="J225">
        <v>55</v>
      </c>
    </row>
    <row r="226" spans="3:10">
      <c r="C226" s="2">
        <v>68</v>
      </c>
      <c r="G226">
        <v>68</v>
      </c>
      <c r="J226">
        <v>55</v>
      </c>
    </row>
    <row r="227" spans="3:10">
      <c r="C227" s="2">
        <v>68</v>
      </c>
      <c r="G227">
        <v>68</v>
      </c>
      <c r="J227">
        <v>55</v>
      </c>
    </row>
    <row r="228" spans="3:10">
      <c r="C228" s="2">
        <v>68</v>
      </c>
      <c r="G228">
        <v>68</v>
      </c>
      <c r="J228">
        <v>55</v>
      </c>
    </row>
    <row r="229" spans="3:10">
      <c r="C229" s="2">
        <v>68</v>
      </c>
      <c r="G229">
        <v>68</v>
      </c>
      <c r="J229">
        <v>55</v>
      </c>
    </row>
    <row r="230" spans="3:10">
      <c r="C230" s="2">
        <v>68</v>
      </c>
      <c r="G230">
        <v>68</v>
      </c>
      <c r="J230">
        <v>55</v>
      </c>
    </row>
    <row r="231" spans="3:10">
      <c r="C231" s="2">
        <v>68</v>
      </c>
      <c r="G231">
        <v>68</v>
      </c>
      <c r="J231">
        <v>55</v>
      </c>
    </row>
    <row r="232" spans="3:10">
      <c r="C232" s="2">
        <v>68</v>
      </c>
      <c r="G232">
        <v>68</v>
      </c>
      <c r="J232">
        <v>60</v>
      </c>
    </row>
    <row r="233" spans="3:10">
      <c r="C233" s="2">
        <v>68</v>
      </c>
      <c r="G233">
        <v>68</v>
      </c>
      <c r="J233">
        <v>60</v>
      </c>
    </row>
    <row r="234" spans="3:10">
      <c r="C234" s="2">
        <v>68</v>
      </c>
      <c r="G234">
        <v>68</v>
      </c>
      <c r="J234">
        <v>60</v>
      </c>
    </row>
    <row r="235" spans="3:10">
      <c r="C235" s="2">
        <v>70</v>
      </c>
      <c r="G235">
        <v>70</v>
      </c>
      <c r="J235">
        <v>60</v>
      </c>
    </row>
    <row r="236" spans="3:10">
      <c r="C236" s="2">
        <v>70</v>
      </c>
      <c r="G236">
        <v>70</v>
      </c>
      <c r="J236">
        <v>60</v>
      </c>
    </row>
    <row r="237" spans="3:10">
      <c r="C237" s="2">
        <v>70</v>
      </c>
      <c r="G237">
        <v>70</v>
      </c>
      <c r="J237">
        <v>60</v>
      </c>
    </row>
    <row r="238" spans="3:10">
      <c r="C238" s="2">
        <v>70</v>
      </c>
      <c r="G238">
        <v>70</v>
      </c>
      <c r="J238">
        <v>60</v>
      </c>
    </row>
    <row r="239" spans="3:10">
      <c r="C239" s="2">
        <v>70</v>
      </c>
      <c r="G239">
        <v>70</v>
      </c>
      <c r="J239">
        <v>60</v>
      </c>
    </row>
    <row r="240" spans="3:10">
      <c r="C240" s="2">
        <v>70</v>
      </c>
      <c r="G240">
        <v>70</v>
      </c>
      <c r="J240">
        <v>60</v>
      </c>
    </row>
    <row r="241" spans="3:10">
      <c r="C241" s="2">
        <v>70</v>
      </c>
      <c r="G241">
        <v>70</v>
      </c>
      <c r="J241">
        <v>60</v>
      </c>
    </row>
    <row r="242" spans="3:10">
      <c r="C242" s="2">
        <v>70</v>
      </c>
      <c r="G242">
        <v>70</v>
      </c>
      <c r="J242">
        <v>66</v>
      </c>
    </row>
    <row r="243" spans="3:10">
      <c r="C243" s="2">
        <v>70</v>
      </c>
      <c r="G243">
        <v>70</v>
      </c>
      <c r="J243">
        <v>66</v>
      </c>
    </row>
    <row r="244" spans="3:10">
      <c r="C244" s="2">
        <v>73</v>
      </c>
      <c r="G244">
        <v>73</v>
      </c>
      <c r="J244">
        <v>66</v>
      </c>
    </row>
    <row r="245" spans="3:10">
      <c r="C245" s="2">
        <v>73</v>
      </c>
      <c r="G245">
        <v>73</v>
      </c>
      <c r="J245">
        <v>66</v>
      </c>
    </row>
    <row r="246" spans="3:10">
      <c r="C246" s="2">
        <v>73</v>
      </c>
      <c r="G246">
        <v>73</v>
      </c>
      <c r="J246">
        <v>66</v>
      </c>
    </row>
    <row r="247" spans="3:10">
      <c r="C247" s="2">
        <v>73</v>
      </c>
      <c r="G247">
        <v>73</v>
      </c>
      <c r="J247">
        <v>66</v>
      </c>
    </row>
    <row r="248" spans="3:10">
      <c r="C248" s="2">
        <v>73</v>
      </c>
      <c r="G248">
        <v>73</v>
      </c>
      <c r="J248">
        <v>66</v>
      </c>
    </row>
    <row r="249" spans="3:10">
      <c r="C249" s="2">
        <v>73</v>
      </c>
      <c r="G249">
        <v>73</v>
      </c>
      <c r="J249">
        <v>66</v>
      </c>
    </row>
    <row r="250" spans="3:10">
      <c r="C250" s="2">
        <v>73</v>
      </c>
      <c r="G250">
        <v>73</v>
      </c>
      <c r="J250">
        <v>66</v>
      </c>
    </row>
    <row r="251" spans="3:10">
      <c r="C251" s="2">
        <v>73</v>
      </c>
      <c r="G251">
        <v>73</v>
      </c>
      <c r="J251">
        <v>66</v>
      </c>
    </row>
    <row r="252" spans="3:10">
      <c r="C252" s="2">
        <v>73</v>
      </c>
      <c r="G252">
        <v>73</v>
      </c>
      <c r="J252">
        <v>68</v>
      </c>
    </row>
    <row r="253" spans="3:10">
      <c r="C253" s="2">
        <v>76</v>
      </c>
      <c r="G253">
        <v>76</v>
      </c>
      <c r="J253">
        <v>68</v>
      </c>
    </row>
    <row r="254" spans="3:10">
      <c r="C254" s="2">
        <v>76</v>
      </c>
      <c r="G254">
        <v>76</v>
      </c>
      <c r="J254">
        <v>68</v>
      </c>
    </row>
    <row r="255" spans="3:10">
      <c r="C255" s="2">
        <v>76</v>
      </c>
      <c r="G255">
        <v>76</v>
      </c>
      <c r="J255">
        <v>68</v>
      </c>
    </row>
    <row r="256" spans="3:10">
      <c r="C256" s="2">
        <v>76</v>
      </c>
      <c r="G256">
        <v>76</v>
      </c>
      <c r="J256">
        <v>68</v>
      </c>
    </row>
    <row r="257" spans="3:10">
      <c r="C257" s="2">
        <v>76</v>
      </c>
      <c r="G257">
        <v>76</v>
      </c>
      <c r="J257">
        <v>68</v>
      </c>
    </row>
    <row r="258" spans="3:10">
      <c r="C258" s="2">
        <v>76</v>
      </c>
      <c r="G258">
        <v>76</v>
      </c>
      <c r="J258">
        <v>68</v>
      </c>
    </row>
    <row r="259" spans="3:10">
      <c r="C259" s="2">
        <v>76</v>
      </c>
      <c r="G259">
        <v>76</v>
      </c>
      <c r="J259">
        <v>68</v>
      </c>
    </row>
    <row r="260" spans="3:10">
      <c r="C260" s="2">
        <v>76</v>
      </c>
      <c r="G260">
        <v>76</v>
      </c>
      <c r="J260">
        <v>68</v>
      </c>
    </row>
    <row r="261" spans="3:10">
      <c r="C261" s="2">
        <v>76</v>
      </c>
      <c r="G261">
        <v>76</v>
      </c>
      <c r="J261">
        <v>68</v>
      </c>
    </row>
    <row r="262" spans="3:10">
      <c r="C262" s="2">
        <v>85</v>
      </c>
      <c r="G262">
        <v>85</v>
      </c>
      <c r="J262">
        <v>70</v>
      </c>
    </row>
    <row r="263" spans="3:10">
      <c r="C263" s="2">
        <v>85</v>
      </c>
      <c r="G263">
        <v>85</v>
      </c>
      <c r="J263">
        <v>70</v>
      </c>
    </row>
    <row r="264" spans="3:10">
      <c r="C264" s="2">
        <v>85</v>
      </c>
      <c r="G264">
        <v>85</v>
      </c>
      <c r="J264">
        <v>70</v>
      </c>
    </row>
    <row r="265" spans="3:10">
      <c r="C265" s="2">
        <v>85</v>
      </c>
      <c r="G265">
        <v>85</v>
      </c>
      <c r="J265">
        <v>70</v>
      </c>
    </row>
    <row r="266" spans="3:10">
      <c r="C266" s="2">
        <v>85</v>
      </c>
      <c r="G266">
        <v>85</v>
      </c>
      <c r="J266">
        <v>70</v>
      </c>
    </row>
    <row r="267" spans="3:10">
      <c r="C267" s="2">
        <v>85</v>
      </c>
      <c r="G267">
        <v>85</v>
      </c>
      <c r="J267">
        <v>70</v>
      </c>
    </row>
    <row r="268" spans="3:10">
      <c r="C268" s="2">
        <v>85</v>
      </c>
      <c r="G268">
        <v>85</v>
      </c>
      <c r="J268">
        <v>70</v>
      </c>
    </row>
    <row r="269" spans="3:10">
      <c r="C269" s="2">
        <v>85</v>
      </c>
      <c r="G269">
        <v>85</v>
      </c>
      <c r="J269">
        <v>70</v>
      </c>
    </row>
    <row r="270" spans="3:10">
      <c r="C270" s="2">
        <v>85</v>
      </c>
      <c r="G270">
        <v>85</v>
      </c>
      <c r="J270">
        <v>70</v>
      </c>
    </row>
    <row r="271" spans="3:10">
      <c r="C271" s="2">
        <v>87</v>
      </c>
      <c r="G271">
        <v>87</v>
      </c>
      <c r="J271">
        <v>70</v>
      </c>
    </row>
    <row r="272" spans="3:10">
      <c r="C272" s="2">
        <v>87</v>
      </c>
      <c r="G272">
        <v>87</v>
      </c>
      <c r="J272">
        <v>73</v>
      </c>
    </row>
    <row r="273" spans="3:10">
      <c r="C273" s="2">
        <v>87</v>
      </c>
      <c r="G273">
        <v>87</v>
      </c>
      <c r="J273">
        <v>73</v>
      </c>
    </row>
    <row r="274" spans="3:10">
      <c r="C274" s="2">
        <v>87</v>
      </c>
      <c r="G274">
        <v>87</v>
      </c>
      <c r="J274">
        <v>73</v>
      </c>
    </row>
    <row r="275" spans="3:10">
      <c r="C275" s="2">
        <v>87</v>
      </c>
      <c r="G275">
        <v>87</v>
      </c>
      <c r="J275">
        <v>73</v>
      </c>
    </row>
    <row r="276" spans="3:10">
      <c r="C276" s="2">
        <v>87</v>
      </c>
      <c r="G276">
        <v>87</v>
      </c>
      <c r="J276">
        <v>73</v>
      </c>
    </row>
    <row r="277" spans="3:10">
      <c r="C277" s="2">
        <v>87</v>
      </c>
      <c r="G277">
        <v>87</v>
      </c>
      <c r="J277">
        <v>73</v>
      </c>
    </row>
    <row r="278" spans="3:10">
      <c r="C278" s="2">
        <v>87</v>
      </c>
      <c r="G278">
        <v>87</v>
      </c>
      <c r="J278">
        <v>73</v>
      </c>
    </row>
    <row r="279" spans="3:10">
      <c r="C279" s="2">
        <v>87</v>
      </c>
      <c r="G279">
        <v>87</v>
      </c>
      <c r="J279">
        <v>73</v>
      </c>
    </row>
    <row r="280" spans="3:10">
      <c r="C280" s="2">
        <v>88</v>
      </c>
      <c r="G280">
        <v>88</v>
      </c>
      <c r="J280">
        <v>73</v>
      </c>
    </row>
    <row r="281" spans="3:10">
      <c r="C281" s="2">
        <v>88</v>
      </c>
      <c r="G281">
        <v>88</v>
      </c>
      <c r="J281">
        <v>73</v>
      </c>
    </row>
    <row r="282" spans="3:10">
      <c r="C282" s="2">
        <v>88</v>
      </c>
      <c r="G282">
        <v>88</v>
      </c>
      <c r="J282">
        <v>76</v>
      </c>
    </row>
    <row r="283" spans="3:10">
      <c r="C283" s="2">
        <v>88</v>
      </c>
      <c r="G283">
        <v>88</v>
      </c>
      <c r="J283">
        <v>76</v>
      </c>
    </row>
    <row r="284" spans="3:10">
      <c r="C284" s="2">
        <v>88</v>
      </c>
      <c r="G284">
        <v>88</v>
      </c>
      <c r="J284">
        <v>76</v>
      </c>
    </row>
    <row r="285" spans="3:10">
      <c r="C285" s="2">
        <v>88</v>
      </c>
      <c r="G285">
        <v>88</v>
      </c>
      <c r="J285">
        <v>76</v>
      </c>
    </row>
    <row r="286" spans="3:10">
      <c r="C286" s="2">
        <v>88</v>
      </c>
      <c r="G286">
        <v>88</v>
      </c>
      <c r="J286">
        <v>76</v>
      </c>
    </row>
    <row r="287" spans="3:10">
      <c r="C287" s="2">
        <v>88</v>
      </c>
      <c r="G287">
        <v>88</v>
      </c>
      <c r="J287">
        <v>76</v>
      </c>
    </row>
    <row r="288" spans="3:10">
      <c r="C288" s="2">
        <v>88</v>
      </c>
      <c r="G288">
        <v>88</v>
      </c>
      <c r="J288">
        <v>76</v>
      </c>
    </row>
    <row r="289" spans="3:10">
      <c r="C289" s="2">
        <v>90</v>
      </c>
      <c r="G289">
        <v>90</v>
      </c>
      <c r="J289">
        <v>76</v>
      </c>
    </row>
    <row r="290" spans="3:10">
      <c r="C290" s="2">
        <v>90</v>
      </c>
      <c r="G290">
        <v>90</v>
      </c>
      <c r="J290">
        <v>76</v>
      </c>
    </row>
    <row r="291" spans="3:10">
      <c r="C291" s="2">
        <v>90</v>
      </c>
      <c r="G291">
        <v>90</v>
      </c>
      <c r="J291">
        <v>76</v>
      </c>
    </row>
    <row r="292" spans="3:10">
      <c r="C292" s="2">
        <v>90</v>
      </c>
      <c r="G292">
        <v>90</v>
      </c>
      <c r="J292">
        <v>85</v>
      </c>
    </row>
    <row r="293" spans="3:10">
      <c r="C293" s="2">
        <v>90</v>
      </c>
      <c r="G293">
        <v>90</v>
      </c>
      <c r="J293">
        <v>85</v>
      </c>
    </row>
    <row r="294" spans="3:10">
      <c r="C294" s="2">
        <v>90</v>
      </c>
      <c r="G294">
        <v>90</v>
      </c>
      <c r="J294">
        <v>85</v>
      </c>
    </row>
    <row r="295" spans="3:10">
      <c r="C295" s="2">
        <v>90</v>
      </c>
      <c r="G295">
        <v>90</v>
      </c>
      <c r="J295">
        <v>85</v>
      </c>
    </row>
    <row r="296" spans="3:10">
      <c r="C296" s="2">
        <v>90</v>
      </c>
      <c r="G296">
        <v>90</v>
      </c>
      <c r="J296">
        <v>85</v>
      </c>
    </row>
    <row r="297" spans="3:10">
      <c r="C297" s="2">
        <v>90</v>
      </c>
      <c r="G297">
        <v>90</v>
      </c>
      <c r="J297">
        <v>85</v>
      </c>
    </row>
    <row r="298" spans="3:10">
      <c r="C298" s="2">
        <v>91</v>
      </c>
      <c r="G298">
        <v>91</v>
      </c>
      <c r="J298">
        <v>85</v>
      </c>
    </row>
    <row r="299" spans="3:10">
      <c r="C299" s="2">
        <v>91</v>
      </c>
      <c r="G299">
        <v>91</v>
      </c>
      <c r="J299">
        <v>85</v>
      </c>
    </row>
    <row r="300" spans="3:10">
      <c r="C300" s="2">
        <v>91</v>
      </c>
      <c r="G300">
        <v>91</v>
      </c>
      <c r="J300">
        <v>85</v>
      </c>
    </row>
    <row r="301" spans="3:10">
      <c r="C301" s="2">
        <v>91</v>
      </c>
      <c r="G301">
        <v>91</v>
      </c>
      <c r="J301">
        <v>85</v>
      </c>
    </row>
    <row r="302" spans="3:10">
      <c r="C302" s="2">
        <v>91</v>
      </c>
      <c r="G302">
        <v>91</v>
      </c>
      <c r="J302">
        <v>87</v>
      </c>
    </row>
    <row r="303" spans="3:10">
      <c r="C303" s="2">
        <v>91</v>
      </c>
      <c r="G303">
        <v>91</v>
      </c>
      <c r="J303">
        <v>87</v>
      </c>
    </row>
    <row r="304" spans="3:10">
      <c r="C304" s="2">
        <v>91</v>
      </c>
      <c r="G304">
        <v>91</v>
      </c>
      <c r="J304">
        <v>87</v>
      </c>
    </row>
    <row r="305" spans="3:10">
      <c r="C305" s="2">
        <v>91</v>
      </c>
      <c r="G305">
        <v>91</v>
      </c>
      <c r="J305">
        <v>87</v>
      </c>
    </row>
    <row r="306" spans="3:10">
      <c r="C306" s="2">
        <v>91</v>
      </c>
      <c r="G306">
        <v>91</v>
      </c>
      <c r="J306">
        <v>87</v>
      </c>
    </row>
    <row r="307" spans="3:10">
      <c r="C307" s="2">
        <v>92</v>
      </c>
      <c r="G307">
        <v>92</v>
      </c>
      <c r="J307">
        <v>87</v>
      </c>
    </row>
    <row r="308" spans="3:10">
      <c r="C308" s="2">
        <v>92</v>
      </c>
      <c r="G308">
        <v>92</v>
      </c>
      <c r="J308">
        <v>87</v>
      </c>
    </row>
    <row r="309" spans="3:10">
      <c r="C309" s="2">
        <v>92</v>
      </c>
      <c r="G309">
        <v>92</v>
      </c>
      <c r="J309">
        <v>87</v>
      </c>
    </row>
    <row r="310" spans="3:10">
      <c r="C310" s="2">
        <v>92</v>
      </c>
      <c r="G310">
        <v>92</v>
      </c>
      <c r="J310">
        <v>87</v>
      </c>
    </row>
    <row r="311" spans="3:10">
      <c r="C311" s="2">
        <v>92</v>
      </c>
      <c r="G311">
        <v>92</v>
      </c>
      <c r="J311">
        <v>87</v>
      </c>
    </row>
    <row r="312" spans="3:10">
      <c r="C312" s="2">
        <v>92</v>
      </c>
      <c r="G312">
        <v>92</v>
      </c>
      <c r="J312">
        <v>88</v>
      </c>
    </row>
    <row r="313" spans="3:10">
      <c r="C313" s="2">
        <v>92</v>
      </c>
      <c r="G313">
        <v>92</v>
      </c>
      <c r="J313">
        <v>88</v>
      </c>
    </row>
    <row r="314" spans="3:10">
      <c r="C314" s="2">
        <v>92</v>
      </c>
      <c r="G314">
        <v>92</v>
      </c>
      <c r="J314">
        <v>88</v>
      </c>
    </row>
    <row r="315" spans="3:10">
      <c r="C315" s="2">
        <v>92</v>
      </c>
      <c r="G315">
        <v>92</v>
      </c>
      <c r="J315">
        <v>88</v>
      </c>
    </row>
    <row r="316" spans="3:10">
      <c r="C316" s="2">
        <v>96</v>
      </c>
      <c r="G316">
        <v>96</v>
      </c>
      <c r="J316">
        <v>88</v>
      </c>
    </row>
    <row r="317" spans="3:10">
      <c r="C317" s="2">
        <v>96</v>
      </c>
      <c r="G317">
        <v>96</v>
      </c>
      <c r="J317">
        <v>88</v>
      </c>
    </row>
    <row r="318" spans="3:10">
      <c r="C318" s="2">
        <v>96</v>
      </c>
      <c r="G318">
        <v>96</v>
      </c>
      <c r="J318">
        <v>88</v>
      </c>
    </row>
    <row r="319" spans="3:10">
      <c r="C319" s="2">
        <v>96</v>
      </c>
      <c r="G319">
        <v>96</v>
      </c>
      <c r="J319">
        <v>88</v>
      </c>
    </row>
    <row r="320" spans="3:10">
      <c r="C320" s="2">
        <v>96</v>
      </c>
      <c r="G320">
        <v>96</v>
      </c>
      <c r="J320">
        <v>88</v>
      </c>
    </row>
    <row r="321" spans="3:10">
      <c r="C321" s="2">
        <v>96</v>
      </c>
      <c r="G321">
        <v>96</v>
      </c>
      <c r="J321">
        <v>88</v>
      </c>
    </row>
    <row r="322" spans="3:10">
      <c r="C322" s="2">
        <v>96</v>
      </c>
      <c r="G322">
        <v>96</v>
      </c>
      <c r="J322">
        <v>90</v>
      </c>
    </row>
    <row r="323" spans="3:10">
      <c r="C323" s="2">
        <v>96</v>
      </c>
      <c r="G323">
        <v>96</v>
      </c>
      <c r="J323">
        <v>90</v>
      </c>
    </row>
    <row r="324" spans="3:10">
      <c r="C324" s="2">
        <v>96</v>
      </c>
      <c r="G324">
        <v>96</v>
      </c>
      <c r="J324">
        <v>90</v>
      </c>
    </row>
    <row r="325" spans="3:10">
      <c r="C325" s="2">
        <v>97</v>
      </c>
      <c r="G325">
        <v>97</v>
      </c>
      <c r="J325">
        <v>90</v>
      </c>
    </row>
    <row r="326" spans="3:10">
      <c r="C326" s="2">
        <v>97</v>
      </c>
      <c r="G326">
        <v>97</v>
      </c>
      <c r="J326">
        <v>90</v>
      </c>
    </row>
    <row r="327" spans="3:10">
      <c r="C327" s="2">
        <v>97</v>
      </c>
      <c r="G327">
        <v>97</v>
      </c>
      <c r="J327">
        <v>90</v>
      </c>
    </row>
    <row r="328" spans="3:10">
      <c r="C328" s="2">
        <v>97</v>
      </c>
      <c r="G328">
        <v>97</v>
      </c>
      <c r="J328">
        <v>90</v>
      </c>
    </row>
    <row r="329" spans="3:10">
      <c r="C329" s="2">
        <v>97</v>
      </c>
      <c r="G329">
        <v>97</v>
      </c>
      <c r="J329">
        <v>90</v>
      </c>
    </row>
    <row r="330" spans="3:10">
      <c r="C330" s="2">
        <v>97</v>
      </c>
      <c r="G330">
        <v>97</v>
      </c>
      <c r="J330">
        <v>90</v>
      </c>
    </row>
    <row r="331" spans="3:10">
      <c r="C331" s="2">
        <v>97</v>
      </c>
      <c r="G331">
        <v>97</v>
      </c>
      <c r="J331">
        <v>90</v>
      </c>
    </row>
    <row r="332" spans="3:10">
      <c r="C332" s="2">
        <v>97</v>
      </c>
      <c r="G332">
        <v>97</v>
      </c>
      <c r="J332">
        <v>91</v>
      </c>
    </row>
    <row r="333" spans="3:10">
      <c r="C333" s="2">
        <v>97</v>
      </c>
      <c r="G333">
        <v>97</v>
      </c>
      <c r="J333">
        <v>91</v>
      </c>
    </row>
    <row r="334" spans="3:10">
      <c r="C334" s="2">
        <v>101</v>
      </c>
      <c r="G334">
        <v>101</v>
      </c>
      <c r="J334">
        <v>91</v>
      </c>
    </row>
    <row r="335" spans="3:10">
      <c r="C335" s="2">
        <v>101</v>
      </c>
      <c r="G335">
        <v>101</v>
      </c>
      <c r="J335">
        <v>91</v>
      </c>
    </row>
    <row r="336" spans="3:10">
      <c r="C336" s="2">
        <v>101</v>
      </c>
      <c r="G336">
        <v>101</v>
      </c>
      <c r="J336">
        <v>91</v>
      </c>
    </row>
    <row r="337" spans="3:10">
      <c r="C337" s="2">
        <v>101</v>
      </c>
      <c r="G337">
        <v>101</v>
      </c>
      <c r="J337">
        <v>91</v>
      </c>
    </row>
    <row r="338" spans="3:10">
      <c r="C338" s="2">
        <v>101</v>
      </c>
      <c r="G338">
        <v>101</v>
      </c>
      <c r="J338">
        <v>91</v>
      </c>
    </row>
    <row r="339" spans="3:10">
      <c r="C339" s="2">
        <v>101</v>
      </c>
      <c r="G339">
        <v>101</v>
      </c>
      <c r="J339">
        <v>91</v>
      </c>
    </row>
    <row r="340" spans="3:10">
      <c r="C340" s="2">
        <v>101</v>
      </c>
      <c r="G340">
        <v>101</v>
      </c>
      <c r="J340">
        <v>91</v>
      </c>
    </row>
    <row r="341" spans="3:10">
      <c r="C341" s="2">
        <v>101</v>
      </c>
      <c r="G341">
        <v>101</v>
      </c>
      <c r="J341">
        <v>91</v>
      </c>
    </row>
    <row r="342" spans="3:10">
      <c r="C342" s="2">
        <v>101</v>
      </c>
      <c r="G342">
        <v>101</v>
      </c>
      <c r="J342">
        <v>92</v>
      </c>
    </row>
    <row r="343" spans="3:10">
      <c r="C343" s="2">
        <v>102</v>
      </c>
      <c r="G343">
        <v>102</v>
      </c>
      <c r="J343">
        <v>92</v>
      </c>
    </row>
    <row r="344" spans="3:10">
      <c r="C344" s="2">
        <v>102</v>
      </c>
      <c r="G344">
        <v>102</v>
      </c>
      <c r="J344">
        <v>92</v>
      </c>
    </row>
    <row r="345" spans="3:10">
      <c r="C345" s="2">
        <v>102</v>
      </c>
      <c r="G345">
        <v>102</v>
      </c>
      <c r="J345">
        <v>92</v>
      </c>
    </row>
    <row r="346" spans="3:10">
      <c r="C346" s="2">
        <v>102</v>
      </c>
      <c r="G346">
        <v>102</v>
      </c>
      <c r="J346">
        <v>92</v>
      </c>
    </row>
    <row r="347" spans="3:10">
      <c r="C347" s="2">
        <v>102</v>
      </c>
      <c r="G347">
        <v>102</v>
      </c>
      <c r="J347">
        <v>92</v>
      </c>
    </row>
    <row r="348" spans="3:10">
      <c r="C348" s="2">
        <v>102</v>
      </c>
      <c r="G348">
        <v>102</v>
      </c>
      <c r="J348">
        <v>92</v>
      </c>
    </row>
    <row r="349" spans="3:10">
      <c r="C349" s="2">
        <v>102</v>
      </c>
      <c r="G349">
        <v>102</v>
      </c>
      <c r="J349">
        <v>92</v>
      </c>
    </row>
    <row r="350" spans="3:10">
      <c r="C350" s="2">
        <v>102</v>
      </c>
      <c r="G350">
        <v>102</v>
      </c>
      <c r="J350">
        <v>92</v>
      </c>
    </row>
    <row r="351" spans="3:10">
      <c r="C351" s="2">
        <v>102</v>
      </c>
      <c r="G351">
        <v>102</v>
      </c>
      <c r="J351">
        <v>92</v>
      </c>
    </row>
    <row r="352" spans="3:10">
      <c r="C352" s="2">
        <v>115</v>
      </c>
      <c r="G352">
        <v>115</v>
      </c>
      <c r="J352">
        <v>96</v>
      </c>
    </row>
    <row r="353" spans="3:10">
      <c r="C353" s="2">
        <v>115</v>
      </c>
      <c r="G353">
        <v>115</v>
      </c>
      <c r="J353">
        <v>96</v>
      </c>
    </row>
    <row r="354" spans="3:10">
      <c r="C354" s="2">
        <v>115</v>
      </c>
      <c r="G354">
        <v>115</v>
      </c>
      <c r="J354">
        <v>96</v>
      </c>
    </row>
    <row r="355" spans="3:10">
      <c r="C355" s="2">
        <v>115</v>
      </c>
      <c r="G355">
        <v>115</v>
      </c>
      <c r="J355">
        <v>96</v>
      </c>
    </row>
    <row r="356" spans="3:10">
      <c r="C356" s="2">
        <v>115</v>
      </c>
      <c r="G356">
        <v>115</v>
      </c>
      <c r="J356">
        <v>96</v>
      </c>
    </row>
    <row r="357" spans="3:10">
      <c r="C357" s="2">
        <v>115</v>
      </c>
      <c r="G357">
        <v>115</v>
      </c>
      <c r="J357">
        <v>96</v>
      </c>
    </row>
    <row r="358" spans="3:10">
      <c r="C358" s="2">
        <v>115</v>
      </c>
      <c r="G358">
        <v>115</v>
      </c>
      <c r="J358">
        <v>96</v>
      </c>
    </row>
    <row r="359" spans="3:10">
      <c r="C359" s="2">
        <v>115</v>
      </c>
      <c r="G359">
        <v>115</v>
      </c>
      <c r="J359">
        <v>96</v>
      </c>
    </row>
    <row r="360" spans="3:10">
      <c r="C360" s="2">
        <v>115</v>
      </c>
      <c r="G360">
        <v>115</v>
      </c>
      <c r="J360">
        <v>96</v>
      </c>
    </row>
    <row r="361" spans="3:10">
      <c r="C361" s="2">
        <v>116</v>
      </c>
      <c r="G361">
        <v>116</v>
      </c>
      <c r="J361">
        <v>96</v>
      </c>
    </row>
    <row r="362" spans="3:10">
      <c r="C362" s="2">
        <v>116</v>
      </c>
      <c r="G362">
        <v>116</v>
      </c>
      <c r="J362">
        <v>97</v>
      </c>
    </row>
    <row r="363" spans="3:10">
      <c r="C363" s="2">
        <v>116</v>
      </c>
      <c r="G363">
        <v>116</v>
      </c>
      <c r="J363">
        <v>97</v>
      </c>
    </row>
    <row r="364" spans="3:10">
      <c r="C364" s="2">
        <v>116</v>
      </c>
      <c r="G364">
        <v>116</v>
      </c>
      <c r="J364">
        <v>97</v>
      </c>
    </row>
    <row r="365" spans="3:10">
      <c r="C365" s="2">
        <v>116</v>
      </c>
      <c r="G365">
        <v>116</v>
      </c>
      <c r="J365">
        <v>97</v>
      </c>
    </row>
    <row r="366" spans="3:10">
      <c r="C366" s="2">
        <v>116</v>
      </c>
      <c r="G366">
        <v>116</v>
      </c>
      <c r="J366">
        <v>97</v>
      </c>
    </row>
    <row r="367" spans="3:10">
      <c r="C367" s="2">
        <v>116</v>
      </c>
      <c r="G367">
        <v>116</v>
      </c>
      <c r="J367">
        <v>97</v>
      </c>
    </row>
    <row r="368" spans="3:10">
      <c r="C368" s="2">
        <v>116</v>
      </c>
      <c r="G368">
        <v>116</v>
      </c>
      <c r="J368">
        <v>97</v>
      </c>
    </row>
    <row r="369" spans="3:10">
      <c r="C369" s="2">
        <v>116</v>
      </c>
      <c r="G369">
        <v>116</v>
      </c>
      <c r="J369">
        <v>97</v>
      </c>
    </row>
    <row r="370" spans="3:10">
      <c r="C370" s="2">
        <v>120</v>
      </c>
      <c r="G370">
        <v>120</v>
      </c>
      <c r="J370">
        <v>97</v>
      </c>
    </row>
    <row r="371" spans="3:10">
      <c r="C371" s="2">
        <v>120</v>
      </c>
      <c r="G371">
        <v>120</v>
      </c>
      <c r="J371">
        <v>97</v>
      </c>
    </row>
    <row r="372" spans="3:10">
      <c r="C372" s="2">
        <v>120</v>
      </c>
      <c r="G372">
        <v>120</v>
      </c>
      <c r="J372">
        <v>101</v>
      </c>
    </row>
    <row r="373" spans="3:10">
      <c r="C373" s="2">
        <v>120</v>
      </c>
      <c r="G373">
        <v>120</v>
      </c>
      <c r="J373">
        <v>101</v>
      </c>
    </row>
    <row r="374" spans="3:10">
      <c r="C374" s="2">
        <v>120</v>
      </c>
      <c r="G374">
        <v>120</v>
      </c>
      <c r="J374">
        <v>101</v>
      </c>
    </row>
    <row r="375" spans="3:10">
      <c r="C375" s="2">
        <v>120</v>
      </c>
      <c r="G375">
        <v>120</v>
      </c>
      <c r="J375">
        <v>101</v>
      </c>
    </row>
    <row r="376" spans="3:10">
      <c r="C376" s="2">
        <v>120</v>
      </c>
      <c r="G376">
        <v>120</v>
      </c>
      <c r="J376">
        <v>101</v>
      </c>
    </row>
    <row r="377" spans="3:10">
      <c r="C377" s="2">
        <v>120</v>
      </c>
      <c r="G377">
        <v>120</v>
      </c>
      <c r="J377">
        <v>101</v>
      </c>
    </row>
    <row r="378" spans="3:10">
      <c r="C378" s="2">
        <v>120</v>
      </c>
      <c r="G378">
        <v>120</v>
      </c>
      <c r="J378">
        <v>101</v>
      </c>
    </row>
    <row r="379" spans="3:10">
      <c r="C379" s="2">
        <v>121</v>
      </c>
      <c r="G379">
        <v>121</v>
      </c>
      <c r="J379">
        <v>101</v>
      </c>
    </row>
    <row r="380" spans="3:10">
      <c r="C380" s="2">
        <v>121</v>
      </c>
      <c r="G380">
        <v>121</v>
      </c>
      <c r="J380">
        <v>101</v>
      </c>
    </row>
    <row r="381" spans="3:10">
      <c r="C381" s="2">
        <v>121</v>
      </c>
      <c r="G381">
        <v>121</v>
      </c>
      <c r="J381">
        <v>101</v>
      </c>
    </row>
    <row r="382" spans="3:10">
      <c r="C382" s="2">
        <v>121</v>
      </c>
      <c r="G382">
        <v>121</v>
      </c>
      <c r="J382">
        <v>102</v>
      </c>
    </row>
    <row r="383" spans="3:10">
      <c r="C383" s="2">
        <v>121</v>
      </c>
      <c r="G383">
        <v>121</v>
      </c>
      <c r="J383">
        <v>102</v>
      </c>
    </row>
    <row r="384" spans="3:10">
      <c r="C384" s="2">
        <v>121</v>
      </c>
      <c r="G384">
        <v>121</v>
      </c>
      <c r="J384">
        <v>102</v>
      </c>
    </row>
    <row r="385" spans="3:10">
      <c r="C385" s="2">
        <v>121</v>
      </c>
      <c r="G385">
        <v>121</v>
      </c>
      <c r="J385">
        <v>102</v>
      </c>
    </row>
    <row r="386" spans="3:10">
      <c r="C386" s="2">
        <v>121</v>
      </c>
      <c r="G386">
        <v>121</v>
      </c>
      <c r="J386">
        <v>102</v>
      </c>
    </row>
    <row r="387" spans="3:10">
      <c r="C387" s="2">
        <v>121</v>
      </c>
      <c r="G387">
        <v>121</v>
      </c>
      <c r="J387">
        <v>102</v>
      </c>
    </row>
    <row r="388" spans="3:10">
      <c r="C388" s="2">
        <v>124</v>
      </c>
      <c r="G388">
        <v>124</v>
      </c>
      <c r="J388">
        <v>102</v>
      </c>
    </row>
    <row r="389" spans="3:10">
      <c r="C389" s="2">
        <v>124</v>
      </c>
      <c r="G389">
        <v>124</v>
      </c>
      <c r="J389">
        <v>102</v>
      </c>
    </row>
    <row r="390" spans="3:10">
      <c r="C390" s="2">
        <v>124</v>
      </c>
      <c r="G390">
        <v>124</v>
      </c>
      <c r="J390">
        <v>102</v>
      </c>
    </row>
    <row r="391" spans="3:10">
      <c r="C391" s="2">
        <v>124</v>
      </c>
      <c r="G391">
        <v>124</v>
      </c>
      <c r="J391">
        <v>102</v>
      </c>
    </row>
    <row r="392" spans="3:10">
      <c r="C392" s="2">
        <v>124</v>
      </c>
      <c r="G392">
        <v>124</v>
      </c>
      <c r="J392">
        <v>115</v>
      </c>
    </row>
    <row r="393" spans="3:10">
      <c r="C393" s="2">
        <v>124</v>
      </c>
      <c r="G393">
        <v>124</v>
      </c>
      <c r="J393">
        <v>115</v>
      </c>
    </row>
    <row r="394" spans="3:10">
      <c r="C394" s="2">
        <v>124</v>
      </c>
      <c r="G394">
        <v>124</v>
      </c>
      <c r="J394">
        <v>115</v>
      </c>
    </row>
    <row r="395" spans="3:10">
      <c r="C395" s="2">
        <v>124</v>
      </c>
      <c r="G395">
        <v>124</v>
      </c>
      <c r="J395">
        <v>115</v>
      </c>
    </row>
    <row r="396" spans="3:10">
      <c r="C396" s="2">
        <v>124</v>
      </c>
      <c r="G396">
        <v>124</v>
      </c>
      <c r="J396">
        <v>115</v>
      </c>
    </row>
    <row r="397" spans="3:10">
      <c r="C397" s="2">
        <v>126</v>
      </c>
      <c r="G397">
        <v>126</v>
      </c>
      <c r="J397">
        <v>115</v>
      </c>
    </row>
    <row r="398" spans="3:10">
      <c r="C398" s="2">
        <v>126</v>
      </c>
      <c r="G398">
        <v>126</v>
      </c>
      <c r="J398">
        <v>115</v>
      </c>
    </row>
    <row r="399" spans="3:10">
      <c r="C399" s="2">
        <v>126</v>
      </c>
      <c r="G399">
        <v>126</v>
      </c>
      <c r="J399">
        <v>115</v>
      </c>
    </row>
    <row r="400" spans="3:10">
      <c r="C400" s="2">
        <v>126</v>
      </c>
      <c r="G400">
        <v>126</v>
      </c>
      <c r="J400">
        <v>115</v>
      </c>
    </row>
    <row r="401" spans="3:10">
      <c r="C401" s="2">
        <v>126</v>
      </c>
      <c r="G401">
        <v>126</v>
      </c>
      <c r="J401">
        <v>115</v>
      </c>
    </row>
    <row r="402" spans="3:10">
      <c r="C402" s="2">
        <v>126</v>
      </c>
      <c r="G402">
        <v>126</v>
      </c>
      <c r="J402">
        <v>116</v>
      </c>
    </row>
    <row r="403" spans="3:10">
      <c r="C403" s="2">
        <v>126</v>
      </c>
      <c r="G403">
        <v>126</v>
      </c>
      <c r="J403">
        <v>116</v>
      </c>
    </row>
    <row r="404" spans="3:10">
      <c r="C404" s="2">
        <v>126</v>
      </c>
      <c r="G404">
        <v>126</v>
      </c>
      <c r="J404">
        <v>116</v>
      </c>
    </row>
    <row r="405" spans="3:10">
      <c r="C405" s="2">
        <v>126</v>
      </c>
      <c r="G405">
        <v>126</v>
      </c>
      <c r="J405">
        <v>116</v>
      </c>
    </row>
    <row r="406" spans="3:10">
      <c r="C406" s="2">
        <v>129</v>
      </c>
      <c r="G406">
        <v>129</v>
      </c>
      <c r="J406">
        <v>116</v>
      </c>
    </row>
    <row r="407" spans="3:10">
      <c r="C407" s="2">
        <v>129</v>
      </c>
      <c r="G407">
        <v>129</v>
      </c>
      <c r="J407">
        <v>116</v>
      </c>
    </row>
    <row r="408" spans="3:10">
      <c r="C408" s="2">
        <v>129</v>
      </c>
      <c r="G408">
        <v>129</v>
      </c>
      <c r="J408">
        <v>116</v>
      </c>
    </row>
    <row r="409" spans="3:10">
      <c r="C409" s="2">
        <v>129</v>
      </c>
      <c r="G409">
        <v>129</v>
      </c>
      <c r="J409">
        <v>116</v>
      </c>
    </row>
    <row r="410" spans="3:10">
      <c r="C410" s="2">
        <v>129</v>
      </c>
      <c r="G410">
        <v>129</v>
      </c>
      <c r="J410">
        <v>116</v>
      </c>
    </row>
    <row r="411" spans="3:10">
      <c r="C411" s="2">
        <v>129</v>
      </c>
      <c r="G411">
        <v>129</v>
      </c>
      <c r="J411">
        <v>116</v>
      </c>
    </row>
    <row r="412" spans="3:10">
      <c r="C412" s="2">
        <v>129</v>
      </c>
      <c r="G412">
        <v>129</v>
      </c>
      <c r="J412">
        <v>120</v>
      </c>
    </row>
    <row r="413" spans="3:10">
      <c r="C413" s="2">
        <v>129</v>
      </c>
      <c r="G413">
        <v>129</v>
      </c>
      <c r="J413">
        <v>120</v>
      </c>
    </row>
    <row r="414" spans="3:10">
      <c r="C414" s="2">
        <v>129</v>
      </c>
      <c r="G414">
        <v>129</v>
      </c>
      <c r="J414">
        <v>120</v>
      </c>
    </row>
    <row r="415" spans="3:10">
      <c r="C415" s="2">
        <v>134</v>
      </c>
      <c r="G415">
        <v>134</v>
      </c>
      <c r="J415">
        <v>120</v>
      </c>
    </row>
    <row r="416" spans="3:10">
      <c r="C416" s="2">
        <v>134</v>
      </c>
      <c r="G416">
        <v>134</v>
      </c>
      <c r="J416">
        <v>120</v>
      </c>
    </row>
    <row r="417" spans="3:10">
      <c r="C417" s="2">
        <v>134</v>
      </c>
      <c r="G417">
        <v>134</v>
      </c>
      <c r="J417">
        <v>120</v>
      </c>
    </row>
    <row r="418" spans="3:10">
      <c r="C418" s="2">
        <v>134</v>
      </c>
      <c r="G418">
        <v>134</v>
      </c>
      <c r="J418">
        <v>120</v>
      </c>
    </row>
    <row r="419" spans="3:10">
      <c r="C419" s="2">
        <v>134</v>
      </c>
      <c r="G419">
        <v>134</v>
      </c>
      <c r="J419">
        <v>120</v>
      </c>
    </row>
    <row r="420" spans="3:10">
      <c r="C420" s="2">
        <v>134</v>
      </c>
      <c r="G420">
        <v>134</v>
      </c>
      <c r="J420">
        <v>120</v>
      </c>
    </row>
    <row r="421" spans="3:10">
      <c r="C421" s="2">
        <v>134</v>
      </c>
      <c r="G421">
        <v>134</v>
      </c>
      <c r="J421">
        <v>120</v>
      </c>
    </row>
    <row r="422" spans="3:10">
      <c r="C422" s="2">
        <v>134</v>
      </c>
      <c r="G422">
        <v>134</v>
      </c>
      <c r="J422">
        <v>121</v>
      </c>
    </row>
    <row r="423" spans="3:10">
      <c r="C423" s="2">
        <v>134</v>
      </c>
      <c r="G423">
        <v>134</v>
      </c>
      <c r="J423">
        <v>121</v>
      </c>
    </row>
    <row r="424" spans="3:10">
      <c r="C424" s="2">
        <v>139</v>
      </c>
      <c r="G424">
        <v>139</v>
      </c>
      <c r="J424">
        <v>121</v>
      </c>
    </row>
    <row r="425" spans="3:10">
      <c r="C425" s="2">
        <v>139</v>
      </c>
      <c r="G425">
        <v>139</v>
      </c>
      <c r="J425">
        <v>121</v>
      </c>
    </row>
    <row r="426" spans="3:10">
      <c r="C426" s="2">
        <v>139</v>
      </c>
      <c r="G426">
        <v>139</v>
      </c>
      <c r="J426">
        <v>121</v>
      </c>
    </row>
    <row r="427" spans="3:10">
      <c r="C427" s="2">
        <v>139</v>
      </c>
      <c r="G427">
        <v>139</v>
      </c>
      <c r="J427">
        <v>121</v>
      </c>
    </row>
    <row r="428" spans="3:10">
      <c r="C428" s="2">
        <v>139</v>
      </c>
      <c r="G428">
        <v>139</v>
      </c>
      <c r="J428">
        <v>121</v>
      </c>
    </row>
    <row r="429" spans="3:10">
      <c r="C429" s="2">
        <v>139</v>
      </c>
      <c r="G429">
        <v>139</v>
      </c>
      <c r="J429">
        <v>121</v>
      </c>
    </row>
    <row r="430" spans="3:10">
      <c r="C430" s="2">
        <v>139</v>
      </c>
      <c r="G430">
        <v>139</v>
      </c>
      <c r="J430">
        <v>121</v>
      </c>
    </row>
    <row r="431" spans="3:10">
      <c r="C431" s="2">
        <v>139</v>
      </c>
      <c r="G431">
        <v>139</v>
      </c>
      <c r="J431">
        <v>121</v>
      </c>
    </row>
    <row r="432" spans="3:10">
      <c r="C432" s="2">
        <v>139</v>
      </c>
      <c r="G432">
        <v>139</v>
      </c>
      <c r="J432">
        <v>124</v>
      </c>
    </row>
    <row r="433" spans="3:10">
      <c r="C433" s="2">
        <v>144</v>
      </c>
      <c r="G433">
        <v>144</v>
      </c>
      <c r="J433">
        <v>124</v>
      </c>
    </row>
    <row r="434" spans="3:10">
      <c r="C434" s="2">
        <v>144</v>
      </c>
      <c r="G434">
        <v>144</v>
      </c>
      <c r="J434">
        <v>124</v>
      </c>
    </row>
    <row r="435" spans="3:10">
      <c r="C435" s="2">
        <v>144</v>
      </c>
      <c r="G435">
        <v>144</v>
      </c>
      <c r="J435">
        <v>124</v>
      </c>
    </row>
    <row r="436" spans="3:10">
      <c r="C436" s="2">
        <v>144</v>
      </c>
      <c r="G436">
        <v>144</v>
      </c>
      <c r="J436">
        <v>124</v>
      </c>
    </row>
    <row r="437" spans="3:10">
      <c r="C437" s="2">
        <v>144</v>
      </c>
      <c r="G437">
        <v>144</v>
      </c>
      <c r="J437">
        <v>124</v>
      </c>
    </row>
    <row r="438" spans="3:10">
      <c r="C438" s="2">
        <v>144</v>
      </c>
      <c r="G438">
        <v>144</v>
      </c>
      <c r="J438">
        <v>124</v>
      </c>
    </row>
    <row r="439" spans="3:10">
      <c r="C439" s="2">
        <v>144</v>
      </c>
      <c r="G439">
        <v>144</v>
      </c>
      <c r="J439">
        <v>124</v>
      </c>
    </row>
    <row r="440" spans="3:10">
      <c r="C440" s="2">
        <v>144</v>
      </c>
      <c r="G440">
        <v>144</v>
      </c>
      <c r="J440">
        <v>124</v>
      </c>
    </row>
    <row r="441" spans="3:10">
      <c r="C441" s="2">
        <v>144</v>
      </c>
      <c r="G441">
        <v>144</v>
      </c>
      <c r="J441">
        <v>124</v>
      </c>
    </row>
    <row r="442" spans="3:10">
      <c r="J442">
        <v>126</v>
      </c>
    </row>
    <row r="443" spans="3:10">
      <c r="J443">
        <v>126</v>
      </c>
    </row>
    <row r="444" spans="3:10">
      <c r="J444">
        <v>126</v>
      </c>
    </row>
    <row r="445" spans="3:10">
      <c r="J445">
        <v>126</v>
      </c>
    </row>
    <row r="446" spans="3:10">
      <c r="J446">
        <v>126</v>
      </c>
    </row>
    <row r="447" spans="3:10">
      <c r="J447">
        <v>126</v>
      </c>
    </row>
    <row r="448" spans="3:10">
      <c r="J448">
        <v>126</v>
      </c>
    </row>
    <row r="449" spans="10:10">
      <c r="J449">
        <v>126</v>
      </c>
    </row>
    <row r="450" spans="10:10">
      <c r="J450">
        <v>126</v>
      </c>
    </row>
    <row r="451" spans="10:10">
      <c r="J451">
        <v>126</v>
      </c>
    </row>
    <row r="452" spans="10:10">
      <c r="J452">
        <v>129</v>
      </c>
    </row>
    <row r="453" spans="10:10">
      <c r="J453">
        <v>129</v>
      </c>
    </row>
    <row r="454" spans="10:10">
      <c r="J454">
        <v>129</v>
      </c>
    </row>
    <row r="455" spans="10:10">
      <c r="J455">
        <v>129</v>
      </c>
    </row>
    <row r="456" spans="10:10">
      <c r="J456">
        <v>129</v>
      </c>
    </row>
    <row r="457" spans="10:10">
      <c r="J457">
        <v>129</v>
      </c>
    </row>
    <row r="458" spans="10:10">
      <c r="J458">
        <v>129</v>
      </c>
    </row>
    <row r="459" spans="10:10">
      <c r="J459">
        <v>129</v>
      </c>
    </row>
    <row r="460" spans="10:10">
      <c r="J460">
        <v>129</v>
      </c>
    </row>
    <row r="461" spans="10:10">
      <c r="J461">
        <v>129</v>
      </c>
    </row>
    <row r="462" spans="10:10">
      <c r="J462">
        <v>134</v>
      </c>
    </row>
    <row r="463" spans="10:10">
      <c r="J463">
        <v>134</v>
      </c>
    </row>
    <row r="464" spans="10:10">
      <c r="J464">
        <v>134</v>
      </c>
    </row>
    <row r="465" spans="10:10">
      <c r="J465">
        <v>134</v>
      </c>
    </row>
    <row r="466" spans="10:10">
      <c r="J466">
        <v>134</v>
      </c>
    </row>
    <row r="467" spans="10:10">
      <c r="J467">
        <v>134</v>
      </c>
    </row>
    <row r="468" spans="10:10">
      <c r="J468">
        <v>134</v>
      </c>
    </row>
    <row r="469" spans="10:10">
      <c r="J469">
        <v>134</v>
      </c>
    </row>
    <row r="470" spans="10:10">
      <c r="J470">
        <v>134</v>
      </c>
    </row>
    <row r="471" spans="10:10">
      <c r="J471">
        <v>134</v>
      </c>
    </row>
    <row r="472" spans="10:10">
      <c r="J472">
        <v>139</v>
      </c>
    </row>
    <row r="473" spans="10:10">
      <c r="J473">
        <v>139</v>
      </c>
    </row>
    <row r="474" spans="10:10">
      <c r="J474">
        <v>139</v>
      </c>
    </row>
    <row r="475" spans="10:10">
      <c r="J475">
        <v>139</v>
      </c>
    </row>
    <row r="476" spans="10:10">
      <c r="J476">
        <v>139</v>
      </c>
    </row>
    <row r="477" spans="10:10">
      <c r="J477">
        <v>139</v>
      </c>
    </row>
    <row r="478" spans="10:10">
      <c r="J478">
        <v>139</v>
      </c>
    </row>
    <row r="479" spans="10:10">
      <c r="J479">
        <v>139</v>
      </c>
    </row>
    <row r="480" spans="10:10">
      <c r="J480">
        <v>139</v>
      </c>
    </row>
    <row r="481" spans="10:10">
      <c r="J481">
        <v>139</v>
      </c>
    </row>
    <row r="482" spans="10:10">
      <c r="J482">
        <v>144</v>
      </c>
    </row>
    <row r="483" spans="10:10">
      <c r="J483">
        <v>144</v>
      </c>
    </row>
    <row r="484" spans="10:10">
      <c r="J484">
        <v>144</v>
      </c>
    </row>
    <row r="485" spans="10:10">
      <c r="J485">
        <v>144</v>
      </c>
    </row>
    <row r="486" spans="10:10">
      <c r="J486">
        <v>144</v>
      </c>
    </row>
    <row r="487" spans="10:10">
      <c r="J487">
        <v>144</v>
      </c>
    </row>
    <row r="488" spans="10:10">
      <c r="J488">
        <v>144</v>
      </c>
    </row>
    <row r="489" spans="10:10">
      <c r="J489">
        <v>144</v>
      </c>
    </row>
    <row r="490" spans="10:10">
      <c r="J490">
        <v>144</v>
      </c>
    </row>
    <row r="491" spans="10:10">
      <c r="J491">
        <v>144</v>
      </c>
    </row>
  </sheetData>
  <sortState xmlns:xlrd2="http://schemas.microsoft.com/office/spreadsheetml/2017/richdata2" ref="J2:J491">
    <sortCondition ref="J491"/>
  </sortState>
  <pageMargins left="0.7" right="0.7" top="0.75" bottom="0.75" header="0.3" footer="0.3"/>
  <pageSetup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Jhean Breard</dc:creator>
  <cp:lastModifiedBy>Jhean Breard</cp:lastModifiedBy>
  <dcterms:created xsi:type="dcterms:W3CDTF">2025-11-25T03:36:07Z</dcterms:created>
  <dcterms:modified xsi:type="dcterms:W3CDTF">2025-12-12T03:09:17Z</dcterms:modified>
</cp:coreProperties>
</file>